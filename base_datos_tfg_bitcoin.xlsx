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queserranogonzalez/Desktop/Copia TFG/"/>
    </mc:Choice>
  </mc:AlternateContent>
  <xr:revisionPtr revIDLastSave="0" documentId="8_{1265A741-E51B-C645-85C8-AD232F05CFF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set_final" sheetId="1" r:id="rId1"/>
    <sheet name="Diccionario_variables" sheetId="2" r:id="rId2"/>
    <sheet name="Fuentes_datos" sheetId="3" r:id="rId3"/>
    <sheet name="Control_limpieza" sheetId="4" r:id="rId4"/>
    <sheet name="Analisis_explorato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D5" i="5"/>
  <c r="D6" i="5"/>
  <c r="D7" i="5"/>
  <c r="D8" i="5"/>
  <c r="D9" i="5"/>
  <c r="D10" i="5"/>
  <c r="D11" i="5"/>
  <c r="D12" i="5"/>
  <c r="D13" i="5"/>
  <c r="D14" i="5"/>
  <c r="D15" i="5"/>
  <c r="D16" i="5"/>
  <c r="D4" i="5"/>
  <c r="I104" i="1"/>
  <c r="I11" i="1"/>
  <c r="G13" i="1"/>
  <c r="E10" i="1"/>
  <c r="F14" i="5"/>
  <c r="E14" i="5"/>
  <c r="C14" i="5"/>
  <c r="B14" i="5"/>
  <c r="F12" i="5"/>
  <c r="E12" i="5"/>
  <c r="C12" i="5"/>
  <c r="B12" i="5"/>
  <c r="F10" i="5"/>
  <c r="E10" i="5"/>
  <c r="C10" i="5"/>
  <c r="B10" i="5"/>
  <c r="F8" i="5"/>
  <c r="E8" i="5"/>
  <c r="C8" i="5"/>
  <c r="B8" i="5"/>
  <c r="F6" i="5"/>
  <c r="E6" i="5"/>
  <c r="C6" i="5"/>
  <c r="B6" i="5"/>
  <c r="F4" i="5"/>
  <c r="E4" i="5"/>
  <c r="C4" i="5"/>
  <c r="B4" i="5"/>
  <c r="M123" i="1"/>
  <c r="I123" i="1"/>
  <c r="G123" i="1"/>
  <c r="E123" i="1"/>
  <c r="C123" i="1"/>
  <c r="M122" i="1"/>
  <c r="I122" i="1"/>
  <c r="G122" i="1"/>
  <c r="E122" i="1"/>
  <c r="C122" i="1"/>
  <c r="M121" i="1"/>
  <c r="I121" i="1"/>
  <c r="G121" i="1"/>
  <c r="E121" i="1"/>
  <c r="C121" i="1"/>
  <c r="O123" i="1" s="1"/>
  <c r="M120" i="1"/>
  <c r="I120" i="1"/>
  <c r="G120" i="1"/>
  <c r="E120" i="1"/>
  <c r="C120" i="1"/>
  <c r="O122" i="1" s="1"/>
  <c r="M119" i="1"/>
  <c r="I119" i="1"/>
  <c r="G119" i="1"/>
  <c r="E119" i="1"/>
  <c r="C119" i="1"/>
  <c r="O121" i="1" s="1"/>
  <c r="M118" i="1"/>
  <c r="I118" i="1"/>
  <c r="G118" i="1"/>
  <c r="E118" i="1"/>
  <c r="C118" i="1"/>
  <c r="O120" i="1" s="1"/>
  <c r="M117" i="1"/>
  <c r="I117" i="1"/>
  <c r="G117" i="1"/>
  <c r="E117" i="1"/>
  <c r="C117" i="1"/>
  <c r="O119" i="1" s="1"/>
  <c r="M116" i="1"/>
  <c r="I116" i="1"/>
  <c r="G116" i="1"/>
  <c r="E116" i="1"/>
  <c r="C116" i="1"/>
  <c r="O118" i="1" s="1"/>
  <c r="M115" i="1"/>
  <c r="I115" i="1"/>
  <c r="G115" i="1"/>
  <c r="E115" i="1"/>
  <c r="C115" i="1"/>
  <c r="O117" i="1" s="1"/>
  <c r="M114" i="1"/>
  <c r="I114" i="1"/>
  <c r="G114" i="1"/>
  <c r="E114" i="1"/>
  <c r="C114" i="1"/>
  <c r="O116" i="1" s="1"/>
  <c r="M113" i="1"/>
  <c r="I113" i="1"/>
  <c r="G113" i="1"/>
  <c r="E113" i="1"/>
  <c r="C113" i="1"/>
  <c r="O115" i="1" s="1"/>
  <c r="M112" i="1"/>
  <c r="I112" i="1"/>
  <c r="G112" i="1"/>
  <c r="E112" i="1"/>
  <c r="C112" i="1"/>
  <c r="O114" i="1" s="1"/>
  <c r="M111" i="1"/>
  <c r="I111" i="1"/>
  <c r="G111" i="1"/>
  <c r="E111" i="1"/>
  <c r="C111" i="1"/>
  <c r="O113" i="1" s="1"/>
  <c r="M110" i="1"/>
  <c r="I110" i="1"/>
  <c r="G110" i="1"/>
  <c r="E110" i="1"/>
  <c r="C110" i="1"/>
  <c r="O112" i="1" s="1"/>
  <c r="M109" i="1"/>
  <c r="I109" i="1"/>
  <c r="G109" i="1"/>
  <c r="E109" i="1"/>
  <c r="C109" i="1"/>
  <c r="O111" i="1" s="1"/>
  <c r="M108" i="1"/>
  <c r="I108" i="1"/>
  <c r="G108" i="1"/>
  <c r="E108" i="1"/>
  <c r="C108" i="1"/>
  <c r="O110" i="1" s="1"/>
  <c r="M107" i="1"/>
  <c r="I107" i="1"/>
  <c r="G107" i="1"/>
  <c r="E107" i="1"/>
  <c r="C107" i="1"/>
  <c r="O109" i="1" s="1"/>
  <c r="M106" i="1"/>
  <c r="I106" i="1"/>
  <c r="G106" i="1"/>
  <c r="E106" i="1"/>
  <c r="C106" i="1"/>
  <c r="O108" i="1" s="1"/>
  <c r="M105" i="1"/>
  <c r="I105" i="1"/>
  <c r="G105" i="1"/>
  <c r="E105" i="1"/>
  <c r="C105" i="1"/>
  <c r="O107" i="1" s="1"/>
  <c r="M104" i="1"/>
  <c r="G104" i="1"/>
  <c r="E104" i="1"/>
  <c r="C104" i="1"/>
  <c r="O106" i="1" s="1"/>
  <c r="M103" i="1"/>
  <c r="I103" i="1"/>
  <c r="G103" i="1"/>
  <c r="E103" i="1"/>
  <c r="C103" i="1"/>
  <c r="O105" i="1" s="1"/>
  <c r="M102" i="1"/>
  <c r="I102" i="1"/>
  <c r="G102" i="1"/>
  <c r="E102" i="1"/>
  <c r="C102" i="1"/>
  <c r="O104" i="1" s="1"/>
  <c r="M101" i="1"/>
  <c r="I101" i="1"/>
  <c r="G101" i="1"/>
  <c r="E101" i="1"/>
  <c r="C101" i="1"/>
  <c r="O103" i="1" s="1"/>
  <c r="M100" i="1"/>
  <c r="I100" i="1"/>
  <c r="G100" i="1"/>
  <c r="E100" i="1"/>
  <c r="C100" i="1"/>
  <c r="O102" i="1" s="1"/>
  <c r="M99" i="1"/>
  <c r="I99" i="1"/>
  <c r="G99" i="1"/>
  <c r="E99" i="1"/>
  <c r="C99" i="1"/>
  <c r="O101" i="1" s="1"/>
  <c r="M98" i="1"/>
  <c r="I98" i="1"/>
  <c r="G98" i="1"/>
  <c r="E98" i="1"/>
  <c r="C98" i="1"/>
  <c r="O100" i="1" s="1"/>
  <c r="M97" i="1"/>
  <c r="I97" i="1"/>
  <c r="G97" i="1"/>
  <c r="E97" i="1"/>
  <c r="C97" i="1"/>
  <c r="O99" i="1" s="1"/>
  <c r="M96" i="1"/>
  <c r="I96" i="1"/>
  <c r="G96" i="1"/>
  <c r="E96" i="1"/>
  <c r="C96" i="1"/>
  <c r="O98" i="1" s="1"/>
  <c r="M95" i="1"/>
  <c r="I95" i="1"/>
  <c r="G95" i="1"/>
  <c r="E95" i="1"/>
  <c r="C95" i="1"/>
  <c r="O97" i="1" s="1"/>
  <c r="M94" i="1"/>
  <c r="I94" i="1"/>
  <c r="G94" i="1"/>
  <c r="E94" i="1"/>
  <c r="C94" i="1"/>
  <c r="O96" i="1" s="1"/>
  <c r="M93" i="1"/>
  <c r="I93" i="1"/>
  <c r="G93" i="1"/>
  <c r="E93" i="1"/>
  <c r="C93" i="1"/>
  <c r="O95" i="1" s="1"/>
  <c r="M92" i="1"/>
  <c r="I92" i="1"/>
  <c r="G92" i="1"/>
  <c r="E92" i="1"/>
  <c r="C92" i="1"/>
  <c r="O94" i="1" s="1"/>
  <c r="M91" i="1"/>
  <c r="I91" i="1"/>
  <c r="G91" i="1"/>
  <c r="E91" i="1"/>
  <c r="C91" i="1"/>
  <c r="O93" i="1" s="1"/>
  <c r="M90" i="1"/>
  <c r="I90" i="1"/>
  <c r="G90" i="1"/>
  <c r="E90" i="1"/>
  <c r="C90" i="1"/>
  <c r="O92" i="1" s="1"/>
  <c r="M89" i="1"/>
  <c r="I89" i="1"/>
  <c r="G89" i="1"/>
  <c r="E89" i="1"/>
  <c r="C89" i="1"/>
  <c r="O91" i="1" s="1"/>
  <c r="M88" i="1"/>
  <c r="I88" i="1"/>
  <c r="G88" i="1"/>
  <c r="E88" i="1"/>
  <c r="C88" i="1"/>
  <c r="O90" i="1" s="1"/>
  <c r="M87" i="1"/>
  <c r="I87" i="1"/>
  <c r="G87" i="1"/>
  <c r="E87" i="1"/>
  <c r="C87" i="1"/>
  <c r="O89" i="1" s="1"/>
  <c r="M86" i="1"/>
  <c r="I86" i="1"/>
  <c r="G86" i="1"/>
  <c r="E86" i="1"/>
  <c r="C86" i="1"/>
  <c r="O88" i="1" s="1"/>
  <c r="M85" i="1"/>
  <c r="I85" i="1"/>
  <c r="G85" i="1"/>
  <c r="E85" i="1"/>
  <c r="C85" i="1"/>
  <c r="O87" i="1" s="1"/>
  <c r="M84" i="1"/>
  <c r="I84" i="1"/>
  <c r="G84" i="1"/>
  <c r="E84" i="1"/>
  <c r="C84" i="1"/>
  <c r="O86" i="1" s="1"/>
  <c r="M83" i="1"/>
  <c r="I83" i="1"/>
  <c r="G83" i="1"/>
  <c r="E83" i="1"/>
  <c r="C83" i="1"/>
  <c r="O85" i="1" s="1"/>
  <c r="M82" i="1"/>
  <c r="I82" i="1"/>
  <c r="G82" i="1"/>
  <c r="E82" i="1"/>
  <c r="C82" i="1"/>
  <c r="O84" i="1" s="1"/>
  <c r="M81" i="1"/>
  <c r="I81" i="1"/>
  <c r="G81" i="1"/>
  <c r="E81" i="1"/>
  <c r="C81" i="1"/>
  <c r="O83" i="1" s="1"/>
  <c r="M80" i="1"/>
  <c r="I80" i="1"/>
  <c r="G80" i="1"/>
  <c r="E80" i="1"/>
  <c r="C80" i="1"/>
  <c r="O82" i="1" s="1"/>
  <c r="M79" i="1"/>
  <c r="I79" i="1"/>
  <c r="G79" i="1"/>
  <c r="E79" i="1"/>
  <c r="C79" i="1"/>
  <c r="O81" i="1" s="1"/>
  <c r="M78" i="1"/>
  <c r="I78" i="1"/>
  <c r="G78" i="1"/>
  <c r="E78" i="1"/>
  <c r="C78" i="1"/>
  <c r="O80" i="1" s="1"/>
  <c r="M77" i="1"/>
  <c r="I77" i="1"/>
  <c r="G77" i="1"/>
  <c r="E77" i="1"/>
  <c r="C77" i="1"/>
  <c r="O79" i="1" s="1"/>
  <c r="M76" i="1"/>
  <c r="I76" i="1"/>
  <c r="G76" i="1"/>
  <c r="E76" i="1"/>
  <c r="C76" i="1"/>
  <c r="O78" i="1" s="1"/>
  <c r="M75" i="1"/>
  <c r="I75" i="1"/>
  <c r="G75" i="1"/>
  <c r="E75" i="1"/>
  <c r="C75" i="1"/>
  <c r="O77" i="1" s="1"/>
  <c r="M74" i="1"/>
  <c r="I74" i="1"/>
  <c r="G74" i="1"/>
  <c r="E74" i="1"/>
  <c r="C74" i="1"/>
  <c r="O76" i="1" s="1"/>
  <c r="M73" i="1"/>
  <c r="I73" i="1"/>
  <c r="G73" i="1"/>
  <c r="E73" i="1"/>
  <c r="C73" i="1"/>
  <c r="O75" i="1" s="1"/>
  <c r="M72" i="1"/>
  <c r="I72" i="1"/>
  <c r="G72" i="1"/>
  <c r="E72" i="1"/>
  <c r="C72" i="1"/>
  <c r="O74" i="1" s="1"/>
  <c r="M71" i="1"/>
  <c r="I71" i="1"/>
  <c r="G71" i="1"/>
  <c r="E71" i="1"/>
  <c r="C71" i="1"/>
  <c r="O73" i="1" s="1"/>
  <c r="M70" i="1"/>
  <c r="I70" i="1"/>
  <c r="G70" i="1"/>
  <c r="E70" i="1"/>
  <c r="C70" i="1"/>
  <c r="O72" i="1" s="1"/>
  <c r="M69" i="1"/>
  <c r="I69" i="1"/>
  <c r="G69" i="1"/>
  <c r="E69" i="1"/>
  <c r="C69" i="1"/>
  <c r="O71" i="1" s="1"/>
  <c r="M68" i="1"/>
  <c r="I68" i="1"/>
  <c r="G68" i="1"/>
  <c r="E68" i="1"/>
  <c r="C68" i="1"/>
  <c r="O70" i="1" s="1"/>
  <c r="M67" i="1"/>
  <c r="I67" i="1"/>
  <c r="G67" i="1"/>
  <c r="E67" i="1"/>
  <c r="C67" i="1"/>
  <c r="O69" i="1" s="1"/>
  <c r="M66" i="1"/>
  <c r="I66" i="1"/>
  <c r="G66" i="1"/>
  <c r="E66" i="1"/>
  <c r="C66" i="1"/>
  <c r="O68" i="1" s="1"/>
  <c r="M65" i="1"/>
  <c r="I65" i="1"/>
  <c r="G65" i="1"/>
  <c r="E65" i="1"/>
  <c r="C65" i="1"/>
  <c r="O67" i="1" s="1"/>
  <c r="M64" i="1"/>
  <c r="I64" i="1"/>
  <c r="G64" i="1"/>
  <c r="E64" i="1"/>
  <c r="C64" i="1"/>
  <c r="O66" i="1" s="1"/>
  <c r="M63" i="1"/>
  <c r="I63" i="1"/>
  <c r="G63" i="1"/>
  <c r="E63" i="1"/>
  <c r="C63" i="1"/>
  <c r="O65" i="1" s="1"/>
  <c r="M62" i="1"/>
  <c r="I62" i="1"/>
  <c r="G62" i="1"/>
  <c r="E62" i="1"/>
  <c r="C62" i="1"/>
  <c r="O64" i="1" s="1"/>
  <c r="M61" i="1"/>
  <c r="I61" i="1"/>
  <c r="G61" i="1"/>
  <c r="E61" i="1"/>
  <c r="C61" i="1"/>
  <c r="O63" i="1" s="1"/>
  <c r="M60" i="1"/>
  <c r="I60" i="1"/>
  <c r="G60" i="1"/>
  <c r="E60" i="1"/>
  <c r="C60" i="1"/>
  <c r="O62" i="1" s="1"/>
  <c r="M59" i="1"/>
  <c r="I59" i="1"/>
  <c r="G59" i="1"/>
  <c r="E59" i="1"/>
  <c r="C59" i="1"/>
  <c r="O61" i="1" s="1"/>
  <c r="M58" i="1"/>
  <c r="I58" i="1"/>
  <c r="G58" i="1"/>
  <c r="E58" i="1"/>
  <c r="C58" i="1"/>
  <c r="O60" i="1" s="1"/>
  <c r="M57" i="1"/>
  <c r="I57" i="1"/>
  <c r="G57" i="1"/>
  <c r="E57" i="1"/>
  <c r="C57" i="1"/>
  <c r="O59" i="1" s="1"/>
  <c r="M56" i="1"/>
  <c r="I56" i="1"/>
  <c r="G56" i="1"/>
  <c r="E56" i="1"/>
  <c r="C56" i="1"/>
  <c r="O58" i="1" s="1"/>
  <c r="M55" i="1"/>
  <c r="I55" i="1"/>
  <c r="G55" i="1"/>
  <c r="E55" i="1"/>
  <c r="C55" i="1"/>
  <c r="O57" i="1" s="1"/>
  <c r="M54" i="1"/>
  <c r="I54" i="1"/>
  <c r="G54" i="1"/>
  <c r="E54" i="1"/>
  <c r="C54" i="1"/>
  <c r="O56" i="1" s="1"/>
  <c r="M53" i="1"/>
  <c r="I53" i="1"/>
  <c r="G53" i="1"/>
  <c r="E53" i="1"/>
  <c r="C53" i="1"/>
  <c r="O55" i="1" s="1"/>
  <c r="M52" i="1"/>
  <c r="I52" i="1"/>
  <c r="G52" i="1"/>
  <c r="E52" i="1"/>
  <c r="C52" i="1"/>
  <c r="O54" i="1" s="1"/>
  <c r="M51" i="1"/>
  <c r="I51" i="1"/>
  <c r="G51" i="1"/>
  <c r="E51" i="1"/>
  <c r="C51" i="1"/>
  <c r="O53" i="1" s="1"/>
  <c r="M50" i="1"/>
  <c r="I50" i="1"/>
  <c r="G50" i="1"/>
  <c r="E50" i="1"/>
  <c r="C50" i="1"/>
  <c r="O52" i="1" s="1"/>
  <c r="M49" i="1"/>
  <c r="I49" i="1"/>
  <c r="G49" i="1"/>
  <c r="E49" i="1"/>
  <c r="C49" i="1"/>
  <c r="O51" i="1" s="1"/>
  <c r="M48" i="1"/>
  <c r="I48" i="1"/>
  <c r="G48" i="1"/>
  <c r="E48" i="1"/>
  <c r="C48" i="1"/>
  <c r="O50" i="1" s="1"/>
  <c r="M47" i="1"/>
  <c r="I47" i="1"/>
  <c r="G47" i="1"/>
  <c r="E47" i="1"/>
  <c r="C47" i="1"/>
  <c r="O49" i="1" s="1"/>
  <c r="M46" i="1"/>
  <c r="I46" i="1"/>
  <c r="G46" i="1"/>
  <c r="E46" i="1"/>
  <c r="C46" i="1"/>
  <c r="O48" i="1" s="1"/>
  <c r="M45" i="1"/>
  <c r="I45" i="1"/>
  <c r="G45" i="1"/>
  <c r="E45" i="1"/>
  <c r="C45" i="1"/>
  <c r="O47" i="1" s="1"/>
  <c r="M44" i="1"/>
  <c r="I44" i="1"/>
  <c r="G44" i="1"/>
  <c r="E44" i="1"/>
  <c r="C44" i="1"/>
  <c r="O46" i="1" s="1"/>
  <c r="M43" i="1"/>
  <c r="I43" i="1"/>
  <c r="G43" i="1"/>
  <c r="E43" i="1"/>
  <c r="C43" i="1"/>
  <c r="O45" i="1" s="1"/>
  <c r="M42" i="1"/>
  <c r="I42" i="1"/>
  <c r="G42" i="1"/>
  <c r="E42" i="1"/>
  <c r="C42" i="1"/>
  <c r="O44" i="1" s="1"/>
  <c r="M41" i="1"/>
  <c r="I41" i="1"/>
  <c r="G41" i="1"/>
  <c r="E41" i="1"/>
  <c r="C41" i="1"/>
  <c r="O43" i="1" s="1"/>
  <c r="M40" i="1"/>
  <c r="I40" i="1"/>
  <c r="G40" i="1"/>
  <c r="E40" i="1"/>
  <c r="C40" i="1"/>
  <c r="O42" i="1" s="1"/>
  <c r="M39" i="1"/>
  <c r="I39" i="1"/>
  <c r="G39" i="1"/>
  <c r="E39" i="1"/>
  <c r="C39" i="1"/>
  <c r="O41" i="1" s="1"/>
  <c r="M38" i="1"/>
  <c r="I38" i="1"/>
  <c r="G38" i="1"/>
  <c r="E38" i="1"/>
  <c r="C38" i="1"/>
  <c r="O40" i="1" s="1"/>
  <c r="M37" i="1"/>
  <c r="I37" i="1"/>
  <c r="G37" i="1"/>
  <c r="E37" i="1"/>
  <c r="C37" i="1"/>
  <c r="O39" i="1" s="1"/>
  <c r="M36" i="1"/>
  <c r="I36" i="1"/>
  <c r="G36" i="1"/>
  <c r="E36" i="1"/>
  <c r="C36" i="1"/>
  <c r="O38" i="1" s="1"/>
  <c r="M35" i="1"/>
  <c r="I35" i="1"/>
  <c r="G35" i="1"/>
  <c r="E35" i="1"/>
  <c r="C35" i="1"/>
  <c r="O37" i="1" s="1"/>
  <c r="M34" i="1"/>
  <c r="I34" i="1"/>
  <c r="G34" i="1"/>
  <c r="E34" i="1"/>
  <c r="C34" i="1"/>
  <c r="O36" i="1" s="1"/>
  <c r="M33" i="1"/>
  <c r="I33" i="1"/>
  <c r="G33" i="1"/>
  <c r="E33" i="1"/>
  <c r="C33" i="1"/>
  <c r="O35" i="1" s="1"/>
  <c r="M32" i="1"/>
  <c r="I32" i="1"/>
  <c r="G32" i="1"/>
  <c r="E32" i="1"/>
  <c r="C32" i="1"/>
  <c r="O34" i="1" s="1"/>
  <c r="M31" i="1"/>
  <c r="I31" i="1"/>
  <c r="G31" i="1"/>
  <c r="E31" i="1"/>
  <c r="C31" i="1"/>
  <c r="O33" i="1" s="1"/>
  <c r="M30" i="1"/>
  <c r="I30" i="1"/>
  <c r="G30" i="1"/>
  <c r="E30" i="1"/>
  <c r="C30" i="1"/>
  <c r="O32" i="1" s="1"/>
  <c r="M29" i="1"/>
  <c r="I29" i="1"/>
  <c r="G29" i="1"/>
  <c r="E29" i="1"/>
  <c r="C29" i="1"/>
  <c r="O31" i="1" s="1"/>
  <c r="M28" i="1"/>
  <c r="I28" i="1"/>
  <c r="G28" i="1"/>
  <c r="E28" i="1"/>
  <c r="C28" i="1"/>
  <c r="O30" i="1" s="1"/>
  <c r="M27" i="1"/>
  <c r="I27" i="1"/>
  <c r="G27" i="1"/>
  <c r="E27" i="1"/>
  <c r="C27" i="1"/>
  <c r="O29" i="1" s="1"/>
  <c r="M26" i="1"/>
  <c r="I26" i="1"/>
  <c r="G26" i="1"/>
  <c r="E26" i="1"/>
  <c r="C26" i="1"/>
  <c r="O28" i="1" s="1"/>
  <c r="M25" i="1"/>
  <c r="I25" i="1"/>
  <c r="G25" i="1"/>
  <c r="E25" i="1"/>
  <c r="C25" i="1"/>
  <c r="O27" i="1" s="1"/>
  <c r="M24" i="1"/>
  <c r="I24" i="1"/>
  <c r="G24" i="1"/>
  <c r="E24" i="1"/>
  <c r="C24" i="1"/>
  <c r="O26" i="1" s="1"/>
  <c r="M23" i="1"/>
  <c r="K23" i="1"/>
  <c r="I23" i="1"/>
  <c r="G23" i="1"/>
  <c r="E23" i="1"/>
  <c r="C23" i="1"/>
  <c r="O25" i="1" s="1"/>
  <c r="M22" i="1"/>
  <c r="K22" i="1"/>
  <c r="I22" i="1"/>
  <c r="G22" i="1"/>
  <c r="E22" i="1"/>
  <c r="C22" i="1"/>
  <c r="O24" i="1" s="1"/>
  <c r="M21" i="1"/>
  <c r="K21" i="1"/>
  <c r="I21" i="1"/>
  <c r="G21" i="1"/>
  <c r="E21" i="1"/>
  <c r="C21" i="1"/>
  <c r="O23" i="1" s="1"/>
  <c r="M20" i="1"/>
  <c r="K20" i="1"/>
  <c r="I20" i="1"/>
  <c r="G20" i="1"/>
  <c r="E20" i="1"/>
  <c r="C20" i="1"/>
  <c r="O22" i="1" s="1"/>
  <c r="M19" i="1"/>
  <c r="K19" i="1"/>
  <c r="I19" i="1"/>
  <c r="G19" i="1"/>
  <c r="E19" i="1"/>
  <c r="C19" i="1"/>
  <c r="O21" i="1" s="1"/>
  <c r="M18" i="1"/>
  <c r="K18" i="1"/>
  <c r="I18" i="1"/>
  <c r="G18" i="1"/>
  <c r="E18" i="1"/>
  <c r="C18" i="1"/>
  <c r="O20" i="1" s="1"/>
  <c r="M17" i="1"/>
  <c r="K17" i="1"/>
  <c r="I17" i="1"/>
  <c r="G17" i="1"/>
  <c r="E17" i="1"/>
  <c r="C17" i="1"/>
  <c r="O19" i="1" s="1"/>
  <c r="M16" i="1"/>
  <c r="K16" i="1"/>
  <c r="I16" i="1"/>
  <c r="G16" i="1"/>
  <c r="E16" i="1"/>
  <c r="C16" i="1"/>
  <c r="O18" i="1" s="1"/>
  <c r="M15" i="1"/>
  <c r="K15" i="1"/>
  <c r="I15" i="1"/>
  <c r="G15" i="1"/>
  <c r="E15" i="1"/>
  <c r="C15" i="1"/>
  <c r="O17" i="1" s="1"/>
  <c r="M14" i="1"/>
  <c r="K14" i="1"/>
  <c r="I14" i="1"/>
  <c r="G26" i="5" s="1"/>
  <c r="G14" i="1"/>
  <c r="E14" i="1"/>
  <c r="G24" i="5" s="1"/>
  <c r="C14" i="1"/>
  <c r="E23" i="5" s="1"/>
  <c r="I13" i="1"/>
  <c r="E13" i="1"/>
  <c r="C13" i="1"/>
  <c r="O15" i="1" s="1"/>
  <c r="I12" i="1"/>
  <c r="G12" i="1"/>
  <c r="E12" i="1"/>
  <c r="C12" i="1"/>
  <c r="O14" i="1" s="1"/>
  <c r="G11" i="1"/>
  <c r="E11" i="1"/>
  <c r="C11" i="1"/>
  <c r="O13" i="1" s="1"/>
  <c r="I10" i="1"/>
  <c r="G10" i="1"/>
  <c r="C10" i="1"/>
  <c r="O12" i="1" s="1"/>
  <c r="I9" i="1"/>
  <c r="G9" i="1"/>
  <c r="E9" i="1"/>
  <c r="C9" i="1"/>
  <c r="O11" i="1" s="1"/>
  <c r="I8" i="1"/>
  <c r="G8" i="1"/>
  <c r="E8" i="1"/>
  <c r="C8" i="1"/>
  <c r="O10" i="1" s="1"/>
  <c r="I7" i="1"/>
  <c r="G7" i="1"/>
  <c r="E7" i="1"/>
  <c r="C7" i="1"/>
  <c r="O9" i="1" s="1"/>
  <c r="I6" i="1"/>
  <c r="G6" i="1"/>
  <c r="E6" i="1"/>
  <c r="C6" i="1"/>
  <c r="O8" i="1" s="1"/>
  <c r="I5" i="1"/>
  <c r="G5" i="1"/>
  <c r="E5" i="1"/>
  <c r="C5" i="1"/>
  <c r="O7" i="1" s="1"/>
  <c r="I4" i="1"/>
  <c r="G4" i="1"/>
  <c r="E4" i="1"/>
  <c r="C4" i="1"/>
  <c r="O6" i="1" s="1"/>
  <c r="I3" i="1"/>
  <c r="G3" i="1"/>
  <c r="E3" i="1"/>
  <c r="C3" i="1"/>
  <c r="E5" i="5" s="1"/>
  <c r="E27" i="5" l="1"/>
  <c r="O5" i="1"/>
  <c r="G28" i="5"/>
  <c r="E9" i="5"/>
  <c r="C11" i="5"/>
  <c r="E25" i="5"/>
  <c r="O16" i="1"/>
  <c r="O4" i="1"/>
  <c r="F16" i="5" s="1"/>
  <c r="C7" i="5"/>
  <c r="B5" i="5"/>
  <c r="F5" i="5"/>
  <c r="B9" i="5"/>
  <c r="F9" i="5"/>
  <c r="B13" i="5"/>
  <c r="F13" i="5"/>
  <c r="B23" i="5"/>
  <c r="F23" i="5"/>
  <c r="D24" i="5"/>
  <c r="B25" i="5"/>
  <c r="F25" i="5"/>
  <c r="D26" i="5"/>
  <c r="B27" i="5"/>
  <c r="F27" i="5"/>
  <c r="D28" i="5"/>
  <c r="C5" i="5"/>
  <c r="E7" i="5"/>
  <c r="C9" i="5"/>
  <c r="E11" i="5"/>
  <c r="C13" i="5"/>
  <c r="E15" i="5"/>
  <c r="C23" i="5"/>
  <c r="G23" i="5"/>
  <c r="E24" i="5"/>
  <c r="C25" i="5"/>
  <c r="G25" i="5"/>
  <c r="E26" i="5"/>
  <c r="C27" i="5"/>
  <c r="G27" i="5"/>
  <c r="E28" i="5"/>
  <c r="B7" i="5"/>
  <c r="F7" i="5"/>
  <c r="B11" i="5"/>
  <c r="F11" i="5"/>
  <c r="B15" i="5"/>
  <c r="F15" i="5"/>
  <c r="E16" i="5"/>
  <c r="D23" i="5"/>
  <c r="B24" i="5"/>
  <c r="F24" i="5"/>
  <c r="D25" i="5"/>
  <c r="B26" i="5"/>
  <c r="F26" i="5"/>
  <c r="D27" i="5"/>
  <c r="B28" i="5"/>
  <c r="F28" i="5"/>
  <c r="E13" i="5"/>
  <c r="C15" i="5"/>
  <c r="B16" i="5"/>
  <c r="C24" i="5"/>
  <c r="C26" i="5"/>
  <c r="C28" i="5"/>
  <c r="C16" i="5" l="1"/>
</calcChain>
</file>

<file path=xl/sharedStrings.xml><?xml version="1.0" encoding="utf-8"?>
<sst xmlns="http://schemas.openxmlformats.org/spreadsheetml/2006/main" count="214" uniqueCount="153">
  <si>
    <t>fecha</t>
  </si>
  <si>
    <t>btc_usd</t>
  </si>
  <si>
    <t>btc_log_return</t>
  </si>
  <si>
    <t>sp500</t>
  </si>
  <si>
    <t>sp500_log_return</t>
  </si>
  <si>
    <t>gold_usd</t>
  </si>
  <si>
    <t>gold_log_return</t>
  </si>
  <si>
    <t>fed_funds_rate</t>
  </si>
  <si>
    <t>fed_funds_change</t>
  </si>
  <si>
    <t>cpi_index</t>
  </si>
  <si>
    <t>inflation_yoy</t>
  </si>
  <si>
    <t>m2_money_stock</t>
  </si>
  <si>
    <t>m2_growth_yoy</t>
  </si>
  <si>
    <t>halving_window_3m</t>
  </si>
  <si>
    <t>btc_volatility_3m</t>
  </si>
  <si>
    <t>Variable</t>
  </si>
  <si>
    <t>Descripción</t>
  </si>
  <si>
    <t>Fuente</t>
  </si>
  <si>
    <t>Transformación aplicada</t>
  </si>
  <si>
    <t>Justificación en el TFG</t>
  </si>
  <si>
    <t>Mes de referencia de la observación.</t>
  </si>
  <si>
    <t>Elaboración propia a partir de fechas de las series.</t>
  </si>
  <si>
    <t>Mensual</t>
  </si>
  <si>
    <t>Unificación al primer día de cada mes.</t>
  </si>
  <si>
    <t>Permite integrar todas las fuentes en una serie temporal común.</t>
  </si>
  <si>
    <t>Digrin / Yahoo Finance (BTC-USD)</t>
  </si>
  <si>
    <t>Precio en niveles.</t>
  </si>
  <si>
    <t>Variable principal del estudio.</t>
  </si>
  <si>
    <t>Rentabilidad logarítmica mensual de Bitcoin.</t>
  </si>
  <si>
    <t>Calculada</t>
  </si>
  <si>
    <t>LN(BTC_t / BTC_t-1)</t>
  </si>
  <si>
    <t>Reduce problemas de escala y permite analizar variaciones relativas.</t>
  </si>
  <si>
    <t>Nivel mensual del índice S&amp;P 500.</t>
  </si>
  <si>
    <t>Digrin / Yahoo Finance (^GSPC)</t>
  </si>
  <si>
    <t>Precio/índice en niveles.</t>
  </si>
  <si>
    <t>Proxy del comportamiento del mercado bursátil estadounidense.</t>
  </si>
  <si>
    <t>Rentabilidad logarítmica mensual del S&amp;P 500.</t>
  </si>
  <si>
    <t>LN(SP500_t / SP500_t-1)</t>
  </si>
  <si>
    <t>Permite comparar variaciones del mercado de renta variable con Bitcoin.</t>
  </si>
  <si>
    <t>Precio mensual del oro/futuro de oro.</t>
  </si>
  <si>
    <t>Digrin / Yahoo Finance (GC=F)</t>
  </si>
  <si>
    <t>Activo de referencia asociado a comportamiento refugio.</t>
  </si>
  <si>
    <t>Rentabilidad logarítmica mensual del oro.</t>
  </si>
  <si>
    <t>LN(Gold_t / Gold_t-1)</t>
  </si>
  <si>
    <t>Permite comparar Bitcoin con un activo refugio tradicional.</t>
  </si>
  <si>
    <t>Tipo efectivo de los fondos federales de EE. UU.</t>
  </si>
  <si>
    <t>FRED (FEDFUNDS)</t>
  </si>
  <si>
    <t>Serie en niveles, porcentaje anual.</t>
  </si>
  <si>
    <t>Representa el entorno de tipos de interés.</t>
  </si>
  <si>
    <t>Cambio mensual del tipo efectivo de fondos federales.</t>
  </si>
  <si>
    <t>FEDFUNDS_t - FEDFUNDS_t-1</t>
  </si>
  <si>
    <t>Captura variaciones en política monetaria.</t>
  </si>
  <si>
    <t>FRED (CPIAUCSL)</t>
  </si>
  <si>
    <t>Serie en niveles.</t>
  </si>
  <si>
    <t>Base para calcular inflación interanual.</t>
  </si>
  <si>
    <t>Inflación interanual calculada a partir del CPI.</t>
  </si>
  <si>
    <t>CPI_t / CPI_t-12 - 1</t>
  </si>
  <si>
    <t>Permite analizar el efecto del contexto inflacionario sobre Bitcoin.</t>
  </si>
  <si>
    <t>M2 de EE. UU. en miles de millones de dólares.</t>
  </si>
  <si>
    <t>FRED (M2SL)</t>
  </si>
  <si>
    <t>Proxy de liquidez monetaria.</t>
  </si>
  <si>
    <t>Crecimiento interanual de M2.</t>
  </si>
  <si>
    <t>M2_t / M2_t-12 - 1</t>
  </si>
  <si>
    <t>Permite aproximar cambios en liquidez.</t>
  </si>
  <si>
    <t>Variable dummy para ventanas de halving.</t>
  </si>
  <si>
    <t>Elaboración propia con fechas contrastadas de halvings.</t>
  </si>
  <si>
    <t>1 en mes de halving y dos meses posteriores; 0 en el resto.</t>
  </si>
  <si>
    <t>Captura eventos internos propios del protocolo Bitcoin.</t>
  </si>
  <si>
    <t>Volatilidad móvil de Bitcoin a tres meses.</t>
  </si>
  <si>
    <t>Mide la inestabilidad reciente del activo.</t>
  </si>
  <si>
    <t>Bloque</t>
  </si>
  <si>
    <t>Variable/serie</t>
  </si>
  <si>
    <t>URL</t>
  </si>
  <si>
    <t>Notas</t>
  </si>
  <si>
    <t>Bitcoin</t>
  </si>
  <si>
    <t>BTC-USD</t>
  </si>
  <si>
    <t>Digrin / Yahoo Finance</t>
  </si>
  <si>
    <t>https://www.digrin.com/stocks/detail/BTC-USD/price</t>
  </si>
  <si>
    <t>Histórico mensual de precios usado como precio de Bitcoin.</t>
  </si>
  <si>
    <t>Mercado financiero</t>
  </si>
  <si>
    <t>^GSPC</t>
  </si>
  <si>
    <t>https://www.digrin.com/stocks/detail/%5EGSPC/price</t>
  </si>
  <si>
    <t>Histórico mensual del índice S&amp;P 500.</t>
  </si>
  <si>
    <t>GC=F</t>
  </si>
  <si>
    <t>https://www.digrin.com/stocks/detail/GC%3DF/price</t>
  </si>
  <si>
    <t>Histórico mensual del futuro de oro usado como referencia del oro.</t>
  </si>
  <si>
    <t>Macroeconomía</t>
  </si>
  <si>
    <t>FEDFUNDS</t>
  </si>
  <si>
    <t>FRED - Federal Reserve Bank of St. Louis</t>
  </si>
  <si>
    <t>https://fred.stlouisfed.org/data/FEDFUNDS</t>
  </si>
  <si>
    <t>Tipo efectivo de fondos federales, mensual.</t>
  </si>
  <si>
    <t>CPIAUCSL</t>
  </si>
  <si>
    <t>https://fred.stlouisfed.org/data/CPIAUCSL</t>
  </si>
  <si>
    <t>Índice CPI mensual ajustado estacionalmente.</t>
  </si>
  <si>
    <t>M2SL</t>
  </si>
  <si>
    <t>https://fred.stlouisfed.org/data/M2SL</t>
  </si>
  <si>
    <t>M2 mensual ajustado estacionalmente, en miles de millones de dólares.</t>
  </si>
  <si>
    <t>Evento Bitcoin</t>
  </si>
  <si>
    <t>Halving</t>
  </si>
  <si>
    <t>Bitbo / Investopedia / elaboración propia</t>
  </si>
  <si>
    <t>https://charts.bitbo.io/halving-dates/</t>
  </si>
  <si>
    <t>Fechas de halving: julio 2016, mayo 2020 y abril 2024; convertidas a dummy mensual.</t>
  </si>
  <si>
    <t>Fase</t>
  </si>
  <si>
    <t>Decisión aplicada</t>
  </si>
  <si>
    <t>Resultado / explicación</t>
  </si>
  <si>
    <t>Periodo final</t>
  </si>
  <si>
    <t>Se ha fijado el intervalo 2016-01 a 2026-04.</t>
  </si>
  <si>
    <t>Se escoge abril de 2026 como último mes para mantener todas las fuentes completas, incluido M2SL.</t>
  </si>
  <si>
    <t>Frecuencia</t>
  </si>
  <si>
    <t>Todas las variables se han integrado en frecuencia mensual.</t>
  </si>
  <si>
    <t>Esto permite combinar datos financieros de mercado con variables macroeconómicas mensuales.</t>
  </si>
  <si>
    <t>Fechas</t>
  </si>
  <si>
    <t>Las fechas se han normalizado al primer día de cada mes.</t>
  </si>
  <si>
    <t>La columna fecha funciona como clave de integración.</t>
  </si>
  <si>
    <t>Duplicados</t>
  </si>
  <si>
    <t>Se ha comprobado una observación por mes.</t>
  </si>
  <si>
    <t>No se han incorporado fechas duplicadas en el dataset final.</t>
  </si>
  <si>
    <t>Valores ausentes</t>
  </si>
  <si>
    <t>No quedan valores ausentes en las variables de entrada del dataset final.</t>
  </si>
  <si>
    <t>Transformaciones</t>
  </si>
  <si>
    <t>Las transformaciones permiten trabajar con variaciones comparables y reducir problemas de escala.</t>
  </si>
  <si>
    <t>Variables evento</t>
  </si>
  <si>
    <t>Se ha creado una dummy de ventana de halving de tres meses.</t>
  </si>
  <si>
    <t>La variable toma valor 1 en el mes del halving y los dos meses posteriores.</t>
  </si>
  <si>
    <t>Aumento artificial de datos</t>
  </si>
  <si>
    <t>No se ha aplicado data augmentation sintético.</t>
  </si>
  <si>
    <t>En series temporales financieras podría alterar la estructura temporal y generar información artificial no observada.</t>
  </si>
  <si>
    <t>Variables descartadas</t>
  </si>
  <si>
    <t>Se priorizan variables trazables y consistentes con el anteproyecto frente a una base excesivamente amplia.</t>
  </si>
  <si>
    <t>Análisis exploratorio inicial</t>
  </si>
  <si>
    <t>Observaciones</t>
  </si>
  <si>
    <t>Media</t>
  </si>
  <si>
    <t>Desv. típica</t>
  </si>
  <si>
    <t>Mínimo</t>
  </si>
  <si>
    <t>Máximo</t>
  </si>
  <si>
    <t>Matriz de correlaciones (desde 2017-01, para alinear variables interanuales)</t>
  </si>
  <si>
    <t>BTC ret.</t>
  </si>
  <si>
    <t>S&amp;P ret.</t>
  </si>
  <si>
    <t>Gold ret.</t>
  </si>
  <si>
    <t>Δ FEDFUNDS</t>
  </si>
  <si>
    <t>Inflación YoY</t>
  </si>
  <si>
    <t>M2 YoY</t>
  </si>
  <si>
    <t>btc_return</t>
  </si>
  <si>
    <t>sp500_return</t>
  </si>
  <si>
    <t>gold_return</t>
  </si>
  <si>
    <t>Desvest.M de las tres últimas rentabilidades logarítmicas.</t>
  </si>
  <si>
    <t>Frecuencia final</t>
  </si>
  <si>
    <t>Se han creado rentabilidades logarítmicas, cambios mensuales,
 crecimientos interanuales y volatilidad móvil.</t>
  </si>
  <si>
    <t>No se han incluido variables sin una integración fiable y completa en esta
 primera base final.</t>
  </si>
  <si>
    <t>Índice de precios al consumo de EE. UU. 
ajustado estacionalmente.</t>
  </si>
  <si>
    <t>Precio mensual de Bitcoin frente al 
dólar estadounidense.</t>
  </si>
  <si>
    <t>La única incidencia detectada en CPIAUCSL para 2025-10 se ha imputado mediante
 interpolación lineal entre septiembre y noviembre de 2025.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</si>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</sst>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3" fillId="3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 vertical="top"/>
    </xf>
    <xf numFmtId="164" fontId="0" fillId="4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10" fontId="0" fillId="4" borderId="0" xfId="0" applyNumberFormat="1" applyFill="1" applyAlignment="1">
      <alignment vertical="top"/>
    </xf>
    <xf numFmtId="2" fontId="0" fillId="4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0" fontId="1" fillId="5" borderId="0" xfId="0" applyFont="1" applyFill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16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FinalTable" displayName="DatasetFinalTable" ref="A1:O123" dataDxfId="0">
  <tableColumns count="15">
    <tableColumn id="1" xr3:uid="{00000000-0010-0000-0000-000001000000}" name="Date" dataDxfId="15"/>
    <tableColumn id="2" xr3:uid="{00000000-0010-0000-0000-000002000000}" name="btc_usd" dataDxfId="14"/>
    <tableColumn id="3" xr3:uid="{00000000-0010-0000-0000-000003000000}" name="btc_return" dataDxfId="13"/>
    <tableColumn id="4" xr3:uid="{00000000-0010-0000-0000-000004000000}" name="sp500" dataDxfId="12"/>
    <tableColumn id="5" xr3:uid="{00000000-0010-0000-0000-000005000000}" name="sp500_return" dataDxfId="11"/>
    <tableColumn id="6" xr3:uid="{00000000-0010-0000-0000-000006000000}" name="gold_usd" dataDxfId="10"/>
    <tableColumn id="7" xr3:uid="{00000000-0010-0000-0000-000007000000}" name="gold_return" dataDxfId="9"/>
    <tableColumn id="8" xr3:uid="{00000000-0010-0000-0000-000008000000}" name="fed_funds_rate" dataDxfId="8"/>
    <tableColumn id="9" xr3:uid="{00000000-0010-0000-0000-000009000000}" name="fed_funds_change" dataDxfId="7"/>
    <tableColumn id="10" xr3:uid="{00000000-0010-0000-0000-00000A000000}" name="cpi_index" dataDxfId="6"/>
    <tableColumn id="11" xr3:uid="{00000000-0010-0000-0000-00000B000000}" name="inflation_yoy" dataDxfId="5"/>
    <tableColumn id="12" xr3:uid="{00000000-0010-0000-0000-00000C000000}" name="m2_money_stock" dataDxfId="4"/>
    <tableColumn id="13" xr3:uid="{00000000-0010-0000-0000-00000D000000}" name="m2_growth_yoy" dataDxfId="3"/>
    <tableColumn id="14" xr3:uid="{00000000-0010-0000-0000-00000E000000}" name="halving_window_3m" dataDxfId="2"/>
    <tableColumn id="15" xr3:uid="{00000000-0010-0000-0000-00000F000000}" name="btc_volatility_3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8"/>
  <sheetViews>
    <sheetView tabSelected="1" workbookViewId="0">
      <selection activeCell="C1" sqref="C1"/>
    </sheetView>
  </sheetViews>
  <sheetFormatPr baseColWidth="10" defaultColWidth="8.83203125" defaultRowHeight="15"/>
  <cols>
    <col min="1" max="1" width="12" customWidth="1"/>
    <col min="2" max="2" width="15" customWidth="1"/>
    <col min="3" max="3" width="16" customWidth="1"/>
    <col min="4" max="4" width="15" customWidth="1"/>
    <col min="5" max="5" width="16" customWidth="1"/>
    <col min="6" max="6" width="15" customWidth="1"/>
    <col min="7" max="7" width="16" customWidth="1"/>
    <col min="8" max="8" width="17.5" customWidth="1"/>
    <col min="9" max="9" width="18" customWidth="1"/>
    <col min="10" max="10" width="11.83203125" customWidth="1"/>
    <col min="11" max="11" width="16" customWidth="1"/>
    <col min="12" max="12" width="17.1640625" customWidth="1"/>
    <col min="13" max="13" width="16" customWidth="1"/>
    <col min="14" max="14" width="18" customWidth="1"/>
    <col min="15" max="15" width="19.33203125" customWidth="1"/>
  </cols>
  <sheetData>
    <row r="1" spans="1:26" ht="32">
      <c r="A1" s="1" t="s">
        <v>152</v>
      </c>
      <c r="B1" s="1" t="s">
        <v>1</v>
      </c>
      <c r="C1" s="16" t="s">
        <v>142</v>
      </c>
      <c r="D1" s="1" t="s">
        <v>3</v>
      </c>
      <c r="E1" s="16" t="s">
        <v>143</v>
      </c>
      <c r="F1" s="1" t="s">
        <v>5</v>
      </c>
      <c r="G1" s="16" t="s">
        <v>144</v>
      </c>
      <c r="H1" s="1" t="s">
        <v>7</v>
      </c>
      <c r="I1" s="16" t="s">
        <v>8</v>
      </c>
      <c r="J1" s="1" t="s">
        <v>9</v>
      </c>
      <c r="K1" s="16" t="s">
        <v>10</v>
      </c>
      <c r="L1" s="1" t="s">
        <v>11</v>
      </c>
      <c r="M1" s="16" t="s">
        <v>12</v>
      </c>
      <c r="N1" s="1" t="s">
        <v>13</v>
      </c>
      <c r="O1" s="16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1">
        <v>42370</v>
      </c>
      <c r="B2" s="12">
        <v>368.77</v>
      </c>
      <c r="C2" s="13"/>
      <c r="D2" s="12">
        <v>1940.24</v>
      </c>
      <c r="E2" s="13"/>
      <c r="F2" s="12">
        <v>1116.4000000000001</v>
      </c>
      <c r="G2" s="13"/>
      <c r="H2" s="14">
        <v>0.34</v>
      </c>
      <c r="I2" s="14"/>
      <c r="J2" s="15">
        <v>237.65199999999999</v>
      </c>
      <c r="K2" s="13"/>
      <c r="L2" s="12">
        <v>12518.5</v>
      </c>
      <c r="M2" s="13"/>
      <c r="N2" s="15">
        <v>0</v>
      </c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>
        <v>42401</v>
      </c>
      <c r="B3" s="12">
        <v>437.7</v>
      </c>
      <c r="C3" s="13">
        <f t="shared" ref="C3:C34" si="0">LN(B3/B2)</f>
        <v>0.1713606007254731</v>
      </c>
      <c r="D3" s="12">
        <v>1932.23</v>
      </c>
      <c r="E3" s="13">
        <f t="shared" ref="E3:E34" si="1">LN(D3/D2)</f>
        <v>-4.1369004400577192E-3</v>
      </c>
      <c r="F3" s="12">
        <v>1233.9000000000001</v>
      </c>
      <c r="G3" s="13">
        <f t="shared" ref="G3:G34" si="2">LN(F3/F2)</f>
        <v>0.10007066224232104</v>
      </c>
      <c r="H3" s="14">
        <v>0.38</v>
      </c>
      <c r="I3" s="14">
        <f t="shared" ref="I3:I34" si="3">H3-H2</f>
        <v>3.999999999999998E-2</v>
      </c>
      <c r="J3" s="15">
        <v>237.33600000000001</v>
      </c>
      <c r="K3" s="13"/>
      <c r="L3" s="12">
        <v>12603.9</v>
      </c>
      <c r="M3" s="13"/>
      <c r="N3" s="15">
        <v>0</v>
      </c>
      <c r="O3" s="1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1">
        <v>42430</v>
      </c>
      <c r="B4" s="12">
        <v>416.73</v>
      </c>
      <c r="C4" s="13">
        <f t="shared" si="0"/>
        <v>-4.9095214119442003E-2</v>
      </c>
      <c r="D4" s="12">
        <v>2059.7399999999998</v>
      </c>
      <c r="E4" s="13">
        <f t="shared" si="1"/>
        <v>6.3904984919882377E-2</v>
      </c>
      <c r="F4" s="12">
        <v>1234.2</v>
      </c>
      <c r="G4" s="13">
        <f t="shared" si="2"/>
        <v>2.4310198247841681E-4</v>
      </c>
      <c r="H4" s="14">
        <v>0.36</v>
      </c>
      <c r="I4" s="14">
        <f t="shared" si="3"/>
        <v>-2.0000000000000018E-2</v>
      </c>
      <c r="J4" s="15">
        <v>238.08</v>
      </c>
      <c r="K4" s="13"/>
      <c r="L4" s="12">
        <v>12661.8</v>
      </c>
      <c r="M4" s="13"/>
      <c r="N4" s="15">
        <v>0</v>
      </c>
      <c r="O4" s="13">
        <f>_xlfn.STDEV.S(C2:C4)</f>
        <v>0.15588580162884541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1">
        <v>42461</v>
      </c>
      <c r="B5" s="12">
        <v>448.32</v>
      </c>
      <c r="C5" s="13">
        <f t="shared" si="0"/>
        <v>7.306873307123464E-2</v>
      </c>
      <c r="D5" s="12">
        <v>2065.3000000000002</v>
      </c>
      <c r="E5" s="13">
        <f t="shared" si="1"/>
        <v>2.6957330678163125E-3</v>
      </c>
      <c r="F5" s="12">
        <v>1289.2</v>
      </c>
      <c r="G5" s="13">
        <f t="shared" si="2"/>
        <v>4.3598884054316396E-2</v>
      </c>
      <c r="H5" s="14">
        <v>0.37</v>
      </c>
      <c r="I5" s="14">
        <f t="shared" si="3"/>
        <v>1.0000000000000009E-2</v>
      </c>
      <c r="J5" s="15">
        <v>238.99199999999999</v>
      </c>
      <c r="K5" s="13"/>
      <c r="L5" s="12">
        <v>12743.2</v>
      </c>
      <c r="M5" s="13"/>
      <c r="N5" s="15">
        <v>0</v>
      </c>
      <c r="O5" s="13">
        <f t="shared" ref="O5:O68" si="4">_xlfn.STDEV.S(C3:C5)</f>
        <v>0.11044311321452646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1">
        <v>42491</v>
      </c>
      <c r="B6" s="12">
        <v>531.39</v>
      </c>
      <c r="C6" s="13">
        <f t="shared" si="0"/>
        <v>0.16998895178397291</v>
      </c>
      <c r="D6" s="12">
        <v>2096.9499999999998</v>
      </c>
      <c r="E6" s="13">
        <f t="shared" si="1"/>
        <v>1.5208413737977483E-2</v>
      </c>
      <c r="F6" s="12">
        <v>1214.8</v>
      </c>
      <c r="G6" s="13">
        <f t="shared" si="2"/>
        <v>-5.9442416769689199E-2</v>
      </c>
      <c r="H6" s="14">
        <v>0.37</v>
      </c>
      <c r="I6" s="14">
        <f t="shared" si="3"/>
        <v>0</v>
      </c>
      <c r="J6" s="15">
        <v>239.55699999999999</v>
      </c>
      <c r="K6" s="13"/>
      <c r="L6" s="12">
        <v>12802</v>
      </c>
      <c r="M6" s="13"/>
      <c r="N6" s="15">
        <v>0</v>
      </c>
      <c r="O6" s="13">
        <f t="shared" si="4"/>
        <v>0.10978420540475946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1">
        <v>42522</v>
      </c>
      <c r="B7" s="12">
        <v>673.34</v>
      </c>
      <c r="C7" s="13">
        <f t="shared" si="0"/>
        <v>0.23675418773561013</v>
      </c>
      <c r="D7" s="12">
        <v>2098.86</v>
      </c>
      <c r="E7" s="13">
        <f t="shared" si="1"/>
        <v>9.1043213678956392E-4</v>
      </c>
      <c r="F7" s="12">
        <v>1318.4</v>
      </c>
      <c r="G7" s="13">
        <f t="shared" si="2"/>
        <v>8.183942598361367E-2</v>
      </c>
      <c r="H7" s="14">
        <v>0.38</v>
      </c>
      <c r="I7" s="14">
        <f t="shared" si="3"/>
        <v>1.0000000000000009E-2</v>
      </c>
      <c r="J7" s="15">
        <v>240.22200000000001</v>
      </c>
      <c r="K7" s="13"/>
      <c r="L7" s="12">
        <v>12852.5</v>
      </c>
      <c r="M7" s="13"/>
      <c r="N7" s="15">
        <v>0</v>
      </c>
      <c r="O7" s="13">
        <f t="shared" si="4"/>
        <v>8.2304367639963988E-2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1">
        <v>42552</v>
      </c>
      <c r="B8" s="12">
        <v>624.67999999999995</v>
      </c>
      <c r="C8" s="13">
        <f t="shared" si="0"/>
        <v>-7.5010884048580376E-2</v>
      </c>
      <c r="D8" s="12">
        <v>2173.6</v>
      </c>
      <c r="E8" s="13">
        <f t="shared" si="1"/>
        <v>3.4990438943766668E-2</v>
      </c>
      <c r="F8" s="12">
        <v>1349</v>
      </c>
      <c r="G8" s="13">
        <f t="shared" si="2"/>
        <v>2.2944697052548611E-2</v>
      </c>
      <c r="H8" s="14">
        <v>0.39</v>
      </c>
      <c r="I8" s="14">
        <f t="shared" si="3"/>
        <v>1.0000000000000009E-2</v>
      </c>
      <c r="J8" s="15">
        <v>240.101</v>
      </c>
      <c r="K8" s="13"/>
      <c r="L8" s="12">
        <v>12911.9</v>
      </c>
      <c r="M8" s="13"/>
      <c r="N8" s="15">
        <v>1</v>
      </c>
      <c r="O8" s="13">
        <f t="shared" si="4"/>
        <v>0.16415438682038386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1">
        <v>42583</v>
      </c>
      <c r="B9" s="12">
        <v>575.47</v>
      </c>
      <c r="C9" s="13">
        <f t="shared" si="0"/>
        <v>-8.2052420400289594E-2</v>
      </c>
      <c r="D9" s="12">
        <v>2170.9499999999998</v>
      </c>
      <c r="E9" s="13">
        <f t="shared" si="1"/>
        <v>-1.2199193604147071E-3</v>
      </c>
      <c r="F9" s="12">
        <v>1306.9000000000001</v>
      </c>
      <c r="G9" s="13">
        <f t="shared" si="2"/>
        <v>-3.1705656604765542E-2</v>
      </c>
      <c r="H9" s="14">
        <v>0.4</v>
      </c>
      <c r="I9" s="14">
        <f t="shared" si="3"/>
        <v>1.0000000000000009E-2</v>
      </c>
      <c r="J9" s="15">
        <v>240.54499999999999</v>
      </c>
      <c r="K9" s="13"/>
      <c r="L9" s="12">
        <v>12989.7</v>
      </c>
      <c r="M9" s="13"/>
      <c r="N9" s="15">
        <v>1</v>
      </c>
      <c r="O9" s="13">
        <f t="shared" si="4"/>
        <v>0.18206441012725461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1">
        <v>42614</v>
      </c>
      <c r="B10" s="12">
        <v>609.74</v>
      </c>
      <c r="C10" s="13">
        <f t="shared" si="0"/>
        <v>5.7845538578188437E-2</v>
      </c>
      <c r="D10" s="12">
        <v>2168.27</v>
      </c>
      <c r="E10" s="13">
        <f>LN(D10/D9)</f>
        <v>-1.2352452011046586E-3</v>
      </c>
      <c r="F10" s="12">
        <v>1313.3</v>
      </c>
      <c r="G10" s="13">
        <f t="shared" si="2"/>
        <v>4.8851329881239728E-3</v>
      </c>
      <c r="H10" s="14">
        <v>0.4</v>
      </c>
      <c r="I10" s="14">
        <f t="shared" si="3"/>
        <v>0</v>
      </c>
      <c r="J10" s="15">
        <v>241.17599999999999</v>
      </c>
      <c r="K10" s="13"/>
      <c r="L10" s="12">
        <v>13054.9</v>
      </c>
      <c r="M10" s="13"/>
      <c r="N10" s="15">
        <v>1</v>
      </c>
      <c r="O10" s="13">
        <f t="shared" si="4"/>
        <v>7.8816084646175885E-2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1">
        <v>42644</v>
      </c>
      <c r="B11" s="12">
        <v>700.97</v>
      </c>
      <c r="C11" s="13">
        <f t="shared" si="0"/>
        <v>0.13943245331556492</v>
      </c>
      <c r="D11" s="12">
        <v>2126.15</v>
      </c>
      <c r="E11" s="13">
        <f t="shared" si="1"/>
        <v>-1.9616782104688858E-2</v>
      </c>
      <c r="F11" s="12">
        <v>1271.5</v>
      </c>
      <c r="G11" s="13">
        <f t="shared" si="2"/>
        <v>-3.2345747728939805E-2</v>
      </c>
      <c r="H11" s="14">
        <v>0.4</v>
      </c>
      <c r="I11" s="14">
        <f>H11-H10</f>
        <v>0</v>
      </c>
      <c r="J11" s="15">
        <v>241.74100000000001</v>
      </c>
      <c r="K11" s="13"/>
      <c r="L11" s="12">
        <v>13122.8</v>
      </c>
      <c r="M11" s="13"/>
      <c r="N11" s="15">
        <v>0</v>
      </c>
      <c r="O11" s="13">
        <f t="shared" si="4"/>
        <v>0.11201444316667077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1">
        <v>42675</v>
      </c>
      <c r="B12" s="12">
        <v>745.69</v>
      </c>
      <c r="C12" s="13">
        <f t="shared" si="0"/>
        <v>6.1844874128136128E-2</v>
      </c>
      <c r="D12" s="12">
        <v>2198.81</v>
      </c>
      <c r="E12" s="13">
        <f t="shared" si="1"/>
        <v>3.3603472465471074E-2</v>
      </c>
      <c r="F12" s="12">
        <v>1170.8</v>
      </c>
      <c r="G12" s="13">
        <f t="shared" si="2"/>
        <v>-8.2510030044443572E-2</v>
      </c>
      <c r="H12" s="14">
        <v>0.41</v>
      </c>
      <c r="I12" s="14">
        <f t="shared" si="3"/>
        <v>9.9999999999999534E-3</v>
      </c>
      <c r="J12" s="15">
        <v>242.02600000000001</v>
      </c>
      <c r="K12" s="13"/>
      <c r="L12" s="12">
        <v>13208.7</v>
      </c>
      <c r="M12" s="13"/>
      <c r="N12" s="15">
        <v>0</v>
      </c>
      <c r="O12" s="13">
        <f t="shared" si="4"/>
        <v>4.5993209254864525E-2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1">
        <v>42705</v>
      </c>
      <c r="B13" s="12">
        <v>963.74</v>
      </c>
      <c r="C13" s="13">
        <f t="shared" si="0"/>
        <v>0.25651158444757211</v>
      </c>
      <c r="D13" s="12">
        <v>2238.83</v>
      </c>
      <c r="E13" s="13">
        <f t="shared" si="1"/>
        <v>1.8037103051757427E-2</v>
      </c>
      <c r="F13" s="12">
        <v>1150</v>
      </c>
      <c r="G13" s="13">
        <f>LN(F13/F12)</f>
        <v>-1.7925333460434963E-2</v>
      </c>
      <c r="H13" s="14">
        <v>0.54</v>
      </c>
      <c r="I13" s="14">
        <f t="shared" si="3"/>
        <v>0.13000000000000006</v>
      </c>
      <c r="J13" s="15">
        <v>242.637</v>
      </c>
      <c r="K13" s="13"/>
      <c r="L13" s="12">
        <v>13234.9</v>
      </c>
      <c r="M13" s="13"/>
      <c r="N13" s="15">
        <v>0</v>
      </c>
      <c r="O13" s="13">
        <f t="shared" si="4"/>
        <v>9.7998710448473497E-2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1">
        <v>42736</v>
      </c>
      <c r="B14" s="12">
        <v>970.4</v>
      </c>
      <c r="C14" s="13">
        <f t="shared" si="0"/>
        <v>6.8868089410234184E-3</v>
      </c>
      <c r="D14" s="12">
        <v>2278.87</v>
      </c>
      <c r="E14" s="13">
        <f t="shared" si="1"/>
        <v>1.772629809300964E-2</v>
      </c>
      <c r="F14" s="12">
        <v>1208.5999999999999</v>
      </c>
      <c r="G14" s="13">
        <f t="shared" si="2"/>
        <v>4.9700722570162316E-2</v>
      </c>
      <c r="H14" s="14">
        <v>0.65</v>
      </c>
      <c r="I14" s="14">
        <f t="shared" si="3"/>
        <v>0.10999999999999999</v>
      </c>
      <c r="J14" s="15">
        <v>243.61799999999999</v>
      </c>
      <c r="K14" s="13">
        <f t="shared" ref="K14:K77" si="5">J14/J2-1</f>
        <v>2.5103933482571117E-2</v>
      </c>
      <c r="L14" s="12">
        <v>13315.7</v>
      </c>
      <c r="M14" s="13">
        <f t="shared" ref="M14:M45" si="6">L14/L2-1</f>
        <v>6.3681751008507481E-2</v>
      </c>
      <c r="N14" s="15">
        <v>0</v>
      </c>
      <c r="O14" s="13">
        <f>_xlfn.STDEV.S(C12:C14)</f>
        <v>0.13116658973889972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1">
        <v>42767</v>
      </c>
      <c r="B15" s="12">
        <v>1179.97</v>
      </c>
      <c r="C15" s="13">
        <f t="shared" si="0"/>
        <v>0.1955359357778681</v>
      </c>
      <c r="D15" s="12">
        <v>2363.64</v>
      </c>
      <c r="E15" s="13">
        <f t="shared" si="1"/>
        <v>3.6523097609435645E-2</v>
      </c>
      <c r="F15" s="12">
        <v>1252.5999999999999</v>
      </c>
      <c r="G15" s="13">
        <f t="shared" si="2"/>
        <v>3.5758726163854282E-2</v>
      </c>
      <c r="H15" s="14">
        <v>0.66</v>
      </c>
      <c r="I15" s="14">
        <f t="shared" si="3"/>
        <v>1.0000000000000009E-2</v>
      </c>
      <c r="J15" s="15">
        <v>244.006</v>
      </c>
      <c r="K15" s="13">
        <f t="shared" si="5"/>
        <v>2.8103616813294208E-2</v>
      </c>
      <c r="L15" s="12">
        <v>13394.8</v>
      </c>
      <c r="M15" s="13">
        <f t="shared" si="6"/>
        <v>6.2750418521251294E-2</v>
      </c>
      <c r="N15" s="15">
        <v>0</v>
      </c>
      <c r="O15" s="13">
        <f t="shared" si="4"/>
        <v>0.13014034176847308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>
        <v>42795</v>
      </c>
      <c r="B16" s="12">
        <v>1071.79</v>
      </c>
      <c r="C16" s="13">
        <f t="shared" si="0"/>
        <v>-9.6158866489383266E-2</v>
      </c>
      <c r="D16" s="12">
        <v>2362.7199999999998</v>
      </c>
      <c r="E16" s="13">
        <f t="shared" si="1"/>
        <v>-3.8930594013980509E-4</v>
      </c>
      <c r="F16" s="12">
        <v>1247.3</v>
      </c>
      <c r="G16" s="13">
        <f t="shared" si="2"/>
        <v>-4.2401759596490214E-3</v>
      </c>
      <c r="H16" s="14">
        <v>0.79</v>
      </c>
      <c r="I16" s="14">
        <f t="shared" si="3"/>
        <v>0.13</v>
      </c>
      <c r="J16" s="15">
        <v>243.892</v>
      </c>
      <c r="K16" s="13">
        <f t="shared" si="5"/>
        <v>2.44119623655914E-2</v>
      </c>
      <c r="L16" s="12">
        <v>13463.6</v>
      </c>
      <c r="M16" s="13">
        <f t="shared" si="6"/>
        <v>6.332432987410952E-2</v>
      </c>
      <c r="N16" s="15">
        <v>0</v>
      </c>
      <c r="O16" s="13">
        <f t="shared" si="4"/>
        <v>0.14792608624520531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1">
        <v>42826</v>
      </c>
      <c r="B17" s="12">
        <v>1347.89</v>
      </c>
      <c r="C17" s="13">
        <f t="shared" si="0"/>
        <v>0.22921025885038512</v>
      </c>
      <c r="D17" s="12">
        <v>2384.1999999999998</v>
      </c>
      <c r="E17" s="13">
        <f t="shared" si="1"/>
        <v>9.0501405584374091E-3</v>
      </c>
      <c r="F17" s="12">
        <v>1266.0999999999999</v>
      </c>
      <c r="G17" s="13">
        <f t="shared" si="2"/>
        <v>1.4960094394543932E-2</v>
      </c>
      <c r="H17" s="14">
        <v>0.9</v>
      </c>
      <c r="I17" s="14">
        <f t="shared" si="3"/>
        <v>0.10999999999999999</v>
      </c>
      <c r="J17" s="15">
        <v>244.19300000000001</v>
      </c>
      <c r="K17" s="13">
        <f t="shared" si="5"/>
        <v>2.176223471915395E-2</v>
      </c>
      <c r="L17" s="12">
        <v>13521.7</v>
      </c>
      <c r="M17" s="13">
        <f t="shared" si="6"/>
        <v>6.1091405612405003E-2</v>
      </c>
      <c r="N17" s="15">
        <v>0</v>
      </c>
      <c r="O17" s="13">
        <f t="shared" si="4"/>
        <v>0.17892497749452102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1">
        <v>42856</v>
      </c>
      <c r="B18" s="12">
        <v>2286.41</v>
      </c>
      <c r="C18" s="13">
        <f t="shared" si="0"/>
        <v>0.52844249508522168</v>
      </c>
      <c r="D18" s="12">
        <v>2411.8000000000002</v>
      </c>
      <c r="E18" s="13">
        <f t="shared" si="1"/>
        <v>1.1509718385591177E-2</v>
      </c>
      <c r="F18" s="12">
        <v>1272</v>
      </c>
      <c r="G18" s="13">
        <f t="shared" si="2"/>
        <v>4.6491553738599294E-3</v>
      </c>
      <c r="H18" s="14">
        <v>0.91</v>
      </c>
      <c r="I18" s="14">
        <f t="shared" si="3"/>
        <v>1.0000000000000009E-2</v>
      </c>
      <c r="J18" s="15">
        <v>244.00399999999999</v>
      </c>
      <c r="K18" s="13">
        <f t="shared" si="5"/>
        <v>1.8563431667619756E-2</v>
      </c>
      <c r="L18" s="12">
        <v>13568.9</v>
      </c>
      <c r="M18" s="13">
        <f t="shared" si="6"/>
        <v>5.9904702390251474E-2</v>
      </c>
      <c r="N18" s="15">
        <v>0</v>
      </c>
      <c r="O18" s="13">
        <f t="shared" si="4"/>
        <v>0.31239181055402138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1">
        <v>42887</v>
      </c>
      <c r="B19" s="12">
        <v>2480.84</v>
      </c>
      <c r="C19" s="13">
        <f t="shared" si="0"/>
        <v>8.161431063334193E-2</v>
      </c>
      <c r="D19" s="12">
        <v>2423.41</v>
      </c>
      <c r="E19" s="13">
        <f t="shared" si="1"/>
        <v>4.802282553352028E-3</v>
      </c>
      <c r="F19" s="12">
        <v>1240.7</v>
      </c>
      <c r="G19" s="13">
        <f t="shared" si="2"/>
        <v>-2.4914728451241541E-2</v>
      </c>
      <c r="H19" s="14">
        <v>1.04</v>
      </c>
      <c r="I19" s="14">
        <f t="shared" si="3"/>
        <v>0.13</v>
      </c>
      <c r="J19" s="15">
        <v>244.16300000000001</v>
      </c>
      <c r="K19" s="13">
        <f t="shared" si="5"/>
        <v>1.6405658099591269E-2</v>
      </c>
      <c r="L19" s="12">
        <v>13580.5</v>
      </c>
      <c r="M19" s="13">
        <f t="shared" si="6"/>
        <v>5.6642676522077329E-2</v>
      </c>
      <c r="N19" s="15">
        <v>0</v>
      </c>
      <c r="O19" s="13">
        <f t="shared" si="4"/>
        <v>0.22766200149664576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1">
        <v>42917</v>
      </c>
      <c r="B20" s="12">
        <v>2875.34</v>
      </c>
      <c r="C20" s="13">
        <f t="shared" si="0"/>
        <v>0.14757371562147681</v>
      </c>
      <c r="D20" s="12">
        <v>2470.3000000000002</v>
      </c>
      <c r="E20" s="13">
        <f t="shared" si="1"/>
        <v>1.9163961513693484E-2</v>
      </c>
      <c r="F20" s="12">
        <v>1266.5999999999999</v>
      </c>
      <c r="G20" s="13">
        <f t="shared" si="2"/>
        <v>2.066040863350407E-2</v>
      </c>
      <c r="H20" s="14">
        <v>1.1499999999999999</v>
      </c>
      <c r="I20" s="14">
        <f t="shared" si="3"/>
        <v>0.10999999999999988</v>
      </c>
      <c r="J20" s="15">
        <v>244.24299999999999</v>
      </c>
      <c r="K20" s="13">
        <f t="shared" si="5"/>
        <v>1.7251073506566073E-2</v>
      </c>
      <c r="L20" s="12">
        <v>13643.1</v>
      </c>
      <c r="M20" s="13">
        <f t="shared" si="6"/>
        <v>5.6629930529201733E-2</v>
      </c>
      <c r="N20" s="15">
        <v>0</v>
      </c>
      <c r="O20" s="13">
        <f t="shared" si="4"/>
        <v>0.24120084877447215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1">
        <v>42948</v>
      </c>
      <c r="B21" s="12">
        <v>4703.3900000000003</v>
      </c>
      <c r="C21" s="13">
        <f t="shared" si="0"/>
        <v>0.49211259719019157</v>
      </c>
      <c r="D21" s="12">
        <v>2471.65</v>
      </c>
      <c r="E21" s="13">
        <f t="shared" si="1"/>
        <v>5.4634305631591474E-4</v>
      </c>
      <c r="F21" s="12">
        <v>1316.2</v>
      </c>
      <c r="G21" s="13">
        <f t="shared" si="2"/>
        <v>3.8412651939688833E-2</v>
      </c>
      <c r="H21" s="14">
        <v>1.1599999999999999</v>
      </c>
      <c r="I21" s="14">
        <f t="shared" si="3"/>
        <v>1.0000000000000009E-2</v>
      </c>
      <c r="J21" s="15">
        <v>245.18299999999999</v>
      </c>
      <c r="K21" s="13">
        <f t="shared" si="5"/>
        <v>1.9281215572969801E-2</v>
      </c>
      <c r="L21" s="12">
        <v>13697.7</v>
      </c>
      <c r="M21" s="13">
        <f t="shared" si="6"/>
        <v>5.4504722972816833E-2</v>
      </c>
      <c r="N21" s="15">
        <v>0</v>
      </c>
      <c r="O21" s="13">
        <f t="shared" si="4"/>
        <v>0.22044142354418439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1">
        <v>42979</v>
      </c>
      <c r="B22" s="12">
        <v>4338.71</v>
      </c>
      <c r="C22" s="13">
        <f t="shared" si="0"/>
        <v>-8.0706456410618035E-2</v>
      </c>
      <c r="D22" s="12">
        <v>2519.36</v>
      </c>
      <c r="E22" s="13">
        <f t="shared" si="1"/>
        <v>1.9118957203248872E-2</v>
      </c>
      <c r="F22" s="12">
        <v>1281.5</v>
      </c>
      <c r="G22" s="13">
        <f t="shared" si="2"/>
        <v>-2.671753021789296E-2</v>
      </c>
      <c r="H22" s="14">
        <v>1.1499999999999999</v>
      </c>
      <c r="I22" s="14">
        <f t="shared" si="3"/>
        <v>-1.0000000000000009E-2</v>
      </c>
      <c r="J22" s="15">
        <v>246.435</v>
      </c>
      <c r="K22" s="13">
        <f t="shared" si="5"/>
        <v>2.1805652303711787E-2</v>
      </c>
      <c r="L22" s="12">
        <v>13745.1</v>
      </c>
      <c r="M22" s="13">
        <f t="shared" si="6"/>
        <v>5.2869037679338815E-2</v>
      </c>
      <c r="N22" s="15">
        <v>0</v>
      </c>
      <c r="O22" s="13">
        <f t="shared" si="4"/>
        <v>0.28836913439309886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1">
        <v>43009</v>
      </c>
      <c r="B23" s="12">
        <v>6468.4</v>
      </c>
      <c r="C23" s="13">
        <f t="shared" si="0"/>
        <v>0.39935171381546447</v>
      </c>
      <c r="D23" s="12">
        <v>2575.2600000000002</v>
      </c>
      <c r="E23" s="13">
        <f t="shared" si="1"/>
        <v>2.1945598878305109E-2</v>
      </c>
      <c r="F23" s="12">
        <v>1267</v>
      </c>
      <c r="G23" s="13">
        <f t="shared" si="2"/>
        <v>-1.1379365482986703E-2</v>
      </c>
      <c r="H23" s="14">
        <v>1.1499999999999999</v>
      </c>
      <c r="I23" s="14">
        <f t="shared" si="3"/>
        <v>0</v>
      </c>
      <c r="J23" s="15">
        <v>246.626</v>
      </c>
      <c r="K23" s="13">
        <f t="shared" si="5"/>
        <v>2.020757753132485E-2</v>
      </c>
      <c r="L23" s="12">
        <v>13800.1</v>
      </c>
      <c r="M23" s="13">
        <f t="shared" si="6"/>
        <v>5.1612460755326772E-2</v>
      </c>
      <c r="N23" s="15">
        <v>0</v>
      </c>
      <c r="O23" s="13">
        <f t="shared" si="4"/>
        <v>0.30745788233333715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1">
        <v>43040</v>
      </c>
      <c r="B24" s="12">
        <v>10233.6</v>
      </c>
      <c r="C24" s="13">
        <f t="shared" si="0"/>
        <v>0.45874764149579167</v>
      </c>
      <c r="D24" s="12">
        <v>2647.58</v>
      </c>
      <c r="E24" s="13">
        <f t="shared" si="1"/>
        <v>2.7695515330648682E-2</v>
      </c>
      <c r="F24" s="12">
        <v>1273.2</v>
      </c>
      <c r="G24" s="13">
        <f t="shared" si="2"/>
        <v>4.8815150867988263E-3</v>
      </c>
      <c r="H24" s="14">
        <v>1.1599999999999999</v>
      </c>
      <c r="I24" s="14">
        <f t="shared" si="3"/>
        <v>1.0000000000000009E-2</v>
      </c>
      <c r="J24" s="15">
        <v>247.28399999999999</v>
      </c>
      <c r="K24" s="13">
        <f t="shared" si="5"/>
        <v>2.172493864295566E-2</v>
      </c>
      <c r="L24" s="12">
        <v>13843.5</v>
      </c>
      <c r="M24" s="13">
        <f t="shared" si="6"/>
        <v>4.8059233686888136E-2</v>
      </c>
      <c r="N24" s="15">
        <v>0</v>
      </c>
      <c r="O24" s="13">
        <f t="shared" si="4"/>
        <v>0.29580242470660473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1">
        <v>43070</v>
      </c>
      <c r="B25" s="12">
        <v>14156.4</v>
      </c>
      <c r="C25" s="13">
        <f t="shared" si="0"/>
        <v>0.32449039443621663</v>
      </c>
      <c r="D25" s="12">
        <v>2673.61</v>
      </c>
      <c r="E25" s="13">
        <f t="shared" si="1"/>
        <v>9.783603904362663E-3</v>
      </c>
      <c r="F25" s="12">
        <v>1306.3</v>
      </c>
      <c r="G25" s="13">
        <f t="shared" si="2"/>
        <v>2.566529708457984E-2</v>
      </c>
      <c r="H25" s="14">
        <v>1.3</v>
      </c>
      <c r="I25" s="14">
        <f t="shared" si="3"/>
        <v>0.14000000000000012</v>
      </c>
      <c r="J25" s="15">
        <v>247.80500000000001</v>
      </c>
      <c r="K25" s="13">
        <f t="shared" si="5"/>
        <v>2.1299307195522532E-2</v>
      </c>
      <c r="L25" s="12">
        <v>13881.7</v>
      </c>
      <c r="M25" s="13">
        <f t="shared" si="6"/>
        <v>4.8870788596816039E-2</v>
      </c>
      <c r="N25" s="15">
        <v>0</v>
      </c>
      <c r="O25" s="13">
        <f t="shared" si="4"/>
        <v>6.7276917478216444E-2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1">
        <v>43101</v>
      </c>
      <c r="B26" s="12">
        <v>10221.1</v>
      </c>
      <c r="C26" s="13">
        <f t="shared" si="0"/>
        <v>-0.32571260757608639</v>
      </c>
      <c r="D26" s="12">
        <v>2823.81</v>
      </c>
      <c r="E26" s="13">
        <f t="shared" si="1"/>
        <v>5.4657417787024952E-2</v>
      </c>
      <c r="F26" s="12">
        <v>1339</v>
      </c>
      <c r="G26" s="13">
        <f t="shared" si="2"/>
        <v>2.4724353198654875E-2</v>
      </c>
      <c r="H26" s="14">
        <v>1.41</v>
      </c>
      <c r="I26" s="14">
        <f t="shared" si="3"/>
        <v>0.10999999999999988</v>
      </c>
      <c r="J26" s="15">
        <v>248.85900000000001</v>
      </c>
      <c r="K26" s="13">
        <f t="shared" si="5"/>
        <v>2.151318868063945E-2</v>
      </c>
      <c r="L26" s="12">
        <v>13900.3</v>
      </c>
      <c r="M26" s="13">
        <f t="shared" si="6"/>
        <v>4.3903061799229315E-2</v>
      </c>
      <c r="N26" s="15">
        <v>0</v>
      </c>
      <c r="O26" s="13">
        <f t="shared" si="4"/>
        <v>0.41955667765466836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1">
        <v>43132</v>
      </c>
      <c r="B27" s="12">
        <v>10397.9</v>
      </c>
      <c r="C27" s="13">
        <f t="shared" si="0"/>
        <v>1.7149651603621075E-2</v>
      </c>
      <c r="D27" s="12">
        <v>2713.83</v>
      </c>
      <c r="E27" s="13">
        <f t="shared" si="1"/>
        <v>-3.9726115635920697E-2</v>
      </c>
      <c r="F27" s="12">
        <v>1315.5</v>
      </c>
      <c r="G27" s="13">
        <f t="shared" si="2"/>
        <v>-1.7706245210825033E-2</v>
      </c>
      <c r="H27" s="14">
        <v>1.42</v>
      </c>
      <c r="I27" s="14">
        <f t="shared" si="3"/>
        <v>1.0000000000000009E-2</v>
      </c>
      <c r="J27" s="15">
        <v>249.529</v>
      </c>
      <c r="K27" s="13">
        <f t="shared" si="5"/>
        <v>2.263468931091861E-2</v>
      </c>
      <c r="L27" s="12">
        <v>13949.3</v>
      </c>
      <c r="M27" s="13">
        <f t="shared" si="6"/>
        <v>4.1396661390987521E-2</v>
      </c>
      <c r="N27" s="15">
        <v>0</v>
      </c>
      <c r="O27" s="13">
        <f t="shared" si="4"/>
        <v>0.32526317672527771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1">
        <v>43160</v>
      </c>
      <c r="B28" s="12">
        <v>6973.53</v>
      </c>
      <c r="C28" s="13">
        <f t="shared" si="0"/>
        <v>-0.39948230987340605</v>
      </c>
      <c r="D28" s="12">
        <v>2640.87</v>
      </c>
      <c r="E28" s="13">
        <f t="shared" si="1"/>
        <v>-2.725251295379243E-2</v>
      </c>
      <c r="F28" s="12">
        <v>1322.8</v>
      </c>
      <c r="G28" s="13">
        <f t="shared" si="2"/>
        <v>5.5338806272903426E-3</v>
      </c>
      <c r="H28" s="14">
        <v>1.51</v>
      </c>
      <c r="I28" s="14">
        <f t="shared" si="3"/>
        <v>9.000000000000008E-2</v>
      </c>
      <c r="J28" s="15">
        <v>249.577</v>
      </c>
      <c r="K28" s="13">
        <f t="shared" si="5"/>
        <v>2.3309497646499366E-2</v>
      </c>
      <c r="L28" s="12">
        <v>14012.7</v>
      </c>
      <c r="M28" s="13">
        <f t="shared" si="6"/>
        <v>4.0784039929885108E-2</v>
      </c>
      <c r="N28" s="15">
        <v>0</v>
      </c>
      <c r="O28" s="13">
        <f t="shared" si="4"/>
        <v>0.22232809429273778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1">
        <v>43191</v>
      </c>
      <c r="B29" s="12">
        <v>9240.5499999999993</v>
      </c>
      <c r="C29" s="13">
        <f t="shared" si="0"/>
        <v>0.28147985488385613</v>
      </c>
      <c r="D29" s="12">
        <v>2648.05</v>
      </c>
      <c r="E29" s="13">
        <f t="shared" si="1"/>
        <v>2.7151117471289339E-3</v>
      </c>
      <c r="F29" s="12">
        <v>1316.2</v>
      </c>
      <c r="G29" s="13">
        <f t="shared" si="2"/>
        <v>-5.0019050856189096E-3</v>
      </c>
      <c r="H29" s="14">
        <v>1.69</v>
      </c>
      <c r="I29" s="14">
        <f t="shared" si="3"/>
        <v>0.17999999999999994</v>
      </c>
      <c r="J29" s="15">
        <v>250.227</v>
      </c>
      <c r="K29" s="13">
        <f t="shared" si="5"/>
        <v>2.4709963021052994E-2</v>
      </c>
      <c r="L29" s="12">
        <v>14035.9</v>
      </c>
      <c r="M29" s="13">
        <f t="shared" si="6"/>
        <v>3.802776278130704E-2</v>
      </c>
      <c r="N29" s="15">
        <v>0</v>
      </c>
      <c r="O29" s="13">
        <f t="shared" si="4"/>
        <v>0.34330795638931866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1">
        <v>43221</v>
      </c>
      <c r="B30" s="12">
        <v>7494.17</v>
      </c>
      <c r="C30" s="13">
        <f t="shared" si="0"/>
        <v>-0.2094760227629274</v>
      </c>
      <c r="D30" s="12">
        <v>2705.27</v>
      </c>
      <c r="E30" s="13">
        <f t="shared" si="1"/>
        <v>2.1378202402637565E-2</v>
      </c>
      <c r="F30" s="12">
        <v>1300.0999999999999</v>
      </c>
      <c r="G30" s="13">
        <f t="shared" si="2"/>
        <v>-1.2307612453895854E-2</v>
      </c>
      <c r="H30" s="14">
        <v>1.7</v>
      </c>
      <c r="I30" s="14">
        <f t="shared" si="3"/>
        <v>1.0000000000000009E-2</v>
      </c>
      <c r="J30" s="15">
        <v>250.792</v>
      </c>
      <c r="K30" s="13">
        <f t="shared" si="5"/>
        <v>2.7819216078424969E-2</v>
      </c>
      <c r="L30" s="12">
        <v>14092.4</v>
      </c>
      <c r="M30" s="13">
        <f t="shared" si="6"/>
        <v>3.8580872436232871E-2</v>
      </c>
      <c r="N30" s="15">
        <v>0</v>
      </c>
      <c r="O30" s="13">
        <f t="shared" si="4"/>
        <v>0.35138998581071568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1">
        <v>43252</v>
      </c>
      <c r="B31" s="12">
        <v>6404</v>
      </c>
      <c r="C31" s="13">
        <f t="shared" si="0"/>
        <v>-0.15720258979424917</v>
      </c>
      <c r="D31" s="12">
        <v>2718.37</v>
      </c>
      <c r="E31" s="13">
        <f t="shared" si="1"/>
        <v>4.8307134968018613E-3</v>
      </c>
      <c r="F31" s="12">
        <v>1251.3</v>
      </c>
      <c r="G31" s="13">
        <f t="shared" si="2"/>
        <v>-3.8258173697113755E-2</v>
      </c>
      <c r="H31" s="14">
        <v>1.82</v>
      </c>
      <c r="I31" s="14">
        <f t="shared" si="3"/>
        <v>0.12000000000000011</v>
      </c>
      <c r="J31" s="15">
        <v>251.018</v>
      </c>
      <c r="K31" s="13">
        <f t="shared" si="5"/>
        <v>2.8075506935940187E-2</v>
      </c>
      <c r="L31" s="12">
        <v>14137.2</v>
      </c>
      <c r="M31" s="13">
        <f t="shared" si="6"/>
        <v>4.0992599683369546E-2</v>
      </c>
      <c r="N31" s="15">
        <v>0</v>
      </c>
      <c r="O31" s="13">
        <f t="shared" si="4"/>
        <v>0.26963323016615653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1">
        <v>43282</v>
      </c>
      <c r="B32" s="12">
        <v>7780.44</v>
      </c>
      <c r="C32" s="13">
        <f t="shared" si="0"/>
        <v>0.19469009672656581</v>
      </c>
      <c r="D32" s="12">
        <v>2816.29</v>
      </c>
      <c r="E32" s="13">
        <f t="shared" si="1"/>
        <v>3.5387979976799259E-2</v>
      </c>
      <c r="F32" s="12">
        <v>1223.7</v>
      </c>
      <c r="G32" s="13">
        <f t="shared" si="2"/>
        <v>-2.2303954879386689E-2</v>
      </c>
      <c r="H32" s="14">
        <v>1.91</v>
      </c>
      <c r="I32" s="14">
        <f t="shared" si="3"/>
        <v>8.9999999999999858E-2</v>
      </c>
      <c r="J32" s="15">
        <v>251.214</v>
      </c>
      <c r="K32" s="13">
        <f t="shared" si="5"/>
        <v>2.8541247855619289E-2</v>
      </c>
      <c r="L32" s="12">
        <v>14174.6</v>
      </c>
      <c r="M32" s="13">
        <f t="shared" si="6"/>
        <v>3.8957421700346773E-2</v>
      </c>
      <c r="N32" s="15">
        <v>0</v>
      </c>
      <c r="O32" s="13">
        <f t="shared" si="4"/>
        <v>0.21981478065421456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1">
        <v>43313</v>
      </c>
      <c r="B33" s="12">
        <v>7037.58</v>
      </c>
      <c r="C33" s="13">
        <f t="shared" si="0"/>
        <v>-0.10034853078665741</v>
      </c>
      <c r="D33" s="12">
        <v>2901.52</v>
      </c>
      <c r="E33" s="13">
        <f t="shared" si="1"/>
        <v>2.9814321663194848E-2</v>
      </c>
      <c r="F33" s="12">
        <v>1200.3</v>
      </c>
      <c r="G33" s="13">
        <f t="shared" si="2"/>
        <v>-1.9307530460323456E-2</v>
      </c>
      <c r="H33" s="14">
        <v>1.91</v>
      </c>
      <c r="I33" s="14">
        <f t="shared" si="3"/>
        <v>0</v>
      </c>
      <c r="J33" s="15">
        <v>251.66300000000001</v>
      </c>
      <c r="K33" s="13">
        <f t="shared" si="5"/>
        <v>2.6429238568742575E-2</v>
      </c>
      <c r="L33" s="12">
        <v>14223.2</v>
      </c>
      <c r="M33" s="13">
        <f t="shared" si="6"/>
        <v>3.8364104922724351E-2</v>
      </c>
      <c r="N33" s="15">
        <v>0</v>
      </c>
      <c r="O33" s="13">
        <f t="shared" si="4"/>
        <v>0.18890413731897712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1">
        <v>43344</v>
      </c>
      <c r="B34" s="12">
        <v>6625.56</v>
      </c>
      <c r="C34" s="13">
        <f t="shared" si="0"/>
        <v>-6.0329464472519516E-2</v>
      </c>
      <c r="D34" s="12">
        <v>2913.98</v>
      </c>
      <c r="E34" s="13">
        <f t="shared" si="1"/>
        <v>4.2851067203219049E-3</v>
      </c>
      <c r="F34" s="12">
        <v>1191.5</v>
      </c>
      <c r="G34" s="13">
        <f t="shared" si="2"/>
        <v>-7.3585079925021744E-3</v>
      </c>
      <c r="H34" s="14">
        <v>1.95</v>
      </c>
      <c r="I34" s="14">
        <f t="shared" si="3"/>
        <v>4.0000000000000036E-2</v>
      </c>
      <c r="J34" s="15">
        <v>252.18199999999999</v>
      </c>
      <c r="K34" s="13">
        <f t="shared" si="5"/>
        <v>2.3320551058088279E-2</v>
      </c>
      <c r="L34" s="12">
        <v>14245.5</v>
      </c>
      <c r="M34" s="13">
        <f t="shared" si="6"/>
        <v>3.6405700940698837E-2</v>
      </c>
      <c r="N34" s="15">
        <v>0</v>
      </c>
      <c r="O34" s="13">
        <f t="shared" si="4"/>
        <v>0.16004389709686728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1">
        <v>43374</v>
      </c>
      <c r="B35" s="12">
        <v>6317.61</v>
      </c>
      <c r="C35" s="13">
        <f t="shared" ref="C35:C66" si="7">LN(B35/B34)</f>
        <v>-4.7593924522301233E-2</v>
      </c>
      <c r="D35" s="12">
        <v>2711.74</v>
      </c>
      <c r="E35" s="13">
        <f t="shared" ref="E35:E66" si="8">LN(D35/D34)</f>
        <v>-7.1929349055660202E-2</v>
      </c>
      <c r="F35" s="12">
        <v>1212.3</v>
      </c>
      <c r="G35" s="13">
        <f t="shared" ref="G35:G66" si="9">LN(F35/F34)</f>
        <v>1.7306364213740877E-2</v>
      </c>
      <c r="H35" s="14">
        <v>2.19</v>
      </c>
      <c r="I35" s="14">
        <f t="shared" ref="I35:I66" si="10">H35-H34</f>
        <v>0.24</v>
      </c>
      <c r="J35" s="15">
        <v>252.77199999999999</v>
      </c>
      <c r="K35" s="13">
        <f t="shared" si="5"/>
        <v>2.492032470218053E-2</v>
      </c>
      <c r="L35" s="12">
        <v>14256.6</v>
      </c>
      <c r="M35" s="13">
        <f t="shared" si="6"/>
        <v>3.3079470438619918E-2</v>
      </c>
      <c r="N35" s="15">
        <v>0</v>
      </c>
      <c r="O35" s="13">
        <f t="shared" si="4"/>
        <v>2.7528070911302591E-2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1">
        <v>43405</v>
      </c>
      <c r="B36" s="12">
        <v>4017.27</v>
      </c>
      <c r="C36" s="13">
        <f t="shared" si="7"/>
        <v>-0.45273840462213422</v>
      </c>
      <c r="D36" s="12">
        <v>2760.17</v>
      </c>
      <c r="E36" s="13">
        <f t="shared" si="8"/>
        <v>1.7701776759294796E-2</v>
      </c>
      <c r="F36" s="12">
        <v>1220.2</v>
      </c>
      <c r="G36" s="13">
        <f t="shared" si="9"/>
        <v>6.4953979652144353E-3</v>
      </c>
      <c r="H36" s="14">
        <v>2.2000000000000002</v>
      </c>
      <c r="I36" s="14">
        <f t="shared" si="10"/>
        <v>1.0000000000000231E-2</v>
      </c>
      <c r="J36" s="15">
        <v>252.59399999999999</v>
      </c>
      <c r="K36" s="13">
        <f t="shared" si="5"/>
        <v>2.1473285776677731E-2</v>
      </c>
      <c r="L36" s="12">
        <v>14282.8</v>
      </c>
      <c r="M36" s="13">
        <f t="shared" si="6"/>
        <v>3.1733304438906318E-2</v>
      </c>
      <c r="N36" s="15">
        <v>0</v>
      </c>
      <c r="O36" s="13">
        <f t="shared" si="4"/>
        <v>0.23032188347416874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11">
        <v>43435</v>
      </c>
      <c r="B37" s="12">
        <v>3742.7</v>
      </c>
      <c r="C37" s="13">
        <f t="shared" si="7"/>
        <v>-7.0795291359891793E-2</v>
      </c>
      <c r="D37" s="12">
        <v>2506.85</v>
      </c>
      <c r="E37" s="13">
        <f t="shared" si="8"/>
        <v>-9.6265287118076068E-2</v>
      </c>
      <c r="F37" s="12">
        <v>1278.3</v>
      </c>
      <c r="G37" s="13">
        <f t="shared" si="9"/>
        <v>4.6516290456223991E-2</v>
      </c>
      <c r="H37" s="14">
        <v>2.27</v>
      </c>
      <c r="I37" s="14">
        <f t="shared" si="10"/>
        <v>6.999999999999984E-2</v>
      </c>
      <c r="J37" s="15">
        <v>252.767</v>
      </c>
      <c r="K37" s="13">
        <f t="shared" si="5"/>
        <v>2.0023809043401064E-2</v>
      </c>
      <c r="L37" s="12">
        <v>14386.8</v>
      </c>
      <c r="M37" s="13">
        <f t="shared" si="6"/>
        <v>3.6386033410893415E-2</v>
      </c>
      <c r="N37" s="15">
        <v>0</v>
      </c>
      <c r="O37" s="13">
        <f t="shared" si="4"/>
        <v>0.22750856941624212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1">
        <v>43466</v>
      </c>
      <c r="B38" s="12">
        <v>3457.79</v>
      </c>
      <c r="C38" s="13">
        <f t="shared" si="7"/>
        <v>-7.9177619425435233E-2</v>
      </c>
      <c r="D38" s="12">
        <v>2704.1</v>
      </c>
      <c r="E38" s="13">
        <f t="shared" si="8"/>
        <v>7.574215482837561E-2</v>
      </c>
      <c r="F38" s="12">
        <v>1319.7</v>
      </c>
      <c r="G38" s="13">
        <f t="shared" si="9"/>
        <v>3.1873367848807815E-2</v>
      </c>
      <c r="H38" s="14">
        <v>2.4</v>
      </c>
      <c r="I38" s="14">
        <f t="shared" si="10"/>
        <v>0.12999999999999989</v>
      </c>
      <c r="J38" s="15">
        <v>252.56100000000001</v>
      </c>
      <c r="K38" s="13">
        <f t="shared" si="5"/>
        <v>1.4875893578291333E-2</v>
      </c>
      <c r="L38" s="12">
        <v>14459.7</v>
      </c>
      <c r="M38" s="13">
        <f t="shared" si="6"/>
        <v>4.0243735746710696E-2</v>
      </c>
      <c r="N38" s="15">
        <v>0</v>
      </c>
      <c r="O38" s="13">
        <f t="shared" si="4"/>
        <v>0.21813545693331118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1">
        <v>43497</v>
      </c>
      <c r="B39" s="12">
        <v>3854.78</v>
      </c>
      <c r="C39" s="13">
        <f t="shared" si="7"/>
        <v>0.10868427997282193</v>
      </c>
      <c r="D39" s="12">
        <v>2784.49</v>
      </c>
      <c r="E39" s="13">
        <f t="shared" si="8"/>
        <v>2.9295592986693514E-2</v>
      </c>
      <c r="F39" s="12">
        <v>1312.8</v>
      </c>
      <c r="G39" s="13">
        <f t="shared" si="9"/>
        <v>-5.2421772469027055E-3</v>
      </c>
      <c r="H39" s="14">
        <v>2.4</v>
      </c>
      <c r="I39" s="14">
        <f t="shared" si="10"/>
        <v>0</v>
      </c>
      <c r="J39" s="15">
        <v>253.31899999999999</v>
      </c>
      <c r="K39" s="13">
        <f t="shared" si="5"/>
        <v>1.5188615351321877E-2</v>
      </c>
      <c r="L39" s="12">
        <v>14506.3</v>
      </c>
      <c r="M39" s="13">
        <f t="shared" si="6"/>
        <v>3.9930319084111821E-2</v>
      </c>
      <c r="N39" s="15">
        <v>0</v>
      </c>
      <c r="O39" s="13">
        <f t="shared" si="4"/>
        <v>0.10612514090692959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1">
        <v>43525</v>
      </c>
      <c r="B40" s="12">
        <v>4105.3999999999996</v>
      </c>
      <c r="C40" s="13">
        <f t="shared" si="7"/>
        <v>6.2989243656024735E-2</v>
      </c>
      <c r="D40" s="12">
        <v>2834.4</v>
      </c>
      <c r="E40" s="13">
        <f t="shared" si="8"/>
        <v>1.7765541837019908E-2</v>
      </c>
      <c r="F40" s="12">
        <v>1293</v>
      </c>
      <c r="G40" s="13">
        <f t="shared" si="9"/>
        <v>-1.5197161004023659E-2</v>
      </c>
      <c r="H40" s="14">
        <v>2.41</v>
      </c>
      <c r="I40" s="14">
        <f t="shared" si="10"/>
        <v>1.0000000000000231E-2</v>
      </c>
      <c r="J40" s="15">
        <v>254.27699999999999</v>
      </c>
      <c r="K40" s="13">
        <f t="shared" si="5"/>
        <v>1.8831863513063984E-2</v>
      </c>
      <c r="L40" s="12">
        <v>14557.5</v>
      </c>
      <c r="M40" s="13">
        <f t="shared" si="6"/>
        <v>3.8879016891819607E-2</v>
      </c>
      <c r="N40" s="15">
        <v>0</v>
      </c>
      <c r="O40" s="13">
        <f t="shared" si="4"/>
        <v>9.7972399640525384E-2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11">
        <v>43556</v>
      </c>
      <c r="B41" s="12">
        <v>5350.73</v>
      </c>
      <c r="C41" s="13">
        <f t="shared" si="7"/>
        <v>0.26492981989684133</v>
      </c>
      <c r="D41" s="12">
        <v>2945.83</v>
      </c>
      <c r="E41" s="13">
        <f t="shared" si="8"/>
        <v>3.8560336443090391E-2</v>
      </c>
      <c r="F41" s="12">
        <v>1282.8</v>
      </c>
      <c r="G41" s="13">
        <f t="shared" si="9"/>
        <v>-7.9199109528577082E-3</v>
      </c>
      <c r="H41" s="14">
        <v>2.42</v>
      </c>
      <c r="I41" s="14">
        <f t="shared" si="10"/>
        <v>9.9999999999997868E-3</v>
      </c>
      <c r="J41" s="15">
        <v>255.233</v>
      </c>
      <c r="K41" s="13">
        <f t="shared" si="5"/>
        <v>2.0005834702090608E-2</v>
      </c>
      <c r="L41" s="12">
        <v>14594.7</v>
      </c>
      <c r="M41" s="13">
        <f t="shared" si="6"/>
        <v>3.981219586916418E-2</v>
      </c>
      <c r="N41" s="15">
        <v>0</v>
      </c>
      <c r="O41" s="13">
        <f t="shared" si="4"/>
        <v>0.10589357977281945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11">
        <v>43586</v>
      </c>
      <c r="B42" s="12">
        <v>8574.5</v>
      </c>
      <c r="C42" s="13">
        <f t="shared" si="7"/>
        <v>0.47155968211628202</v>
      </c>
      <c r="D42" s="12">
        <v>2752.06</v>
      </c>
      <c r="E42" s="13">
        <f t="shared" si="8"/>
        <v>-6.8040888853204307E-2</v>
      </c>
      <c r="F42" s="12">
        <v>1305.8</v>
      </c>
      <c r="G42" s="13">
        <f t="shared" si="9"/>
        <v>1.7770690933533236E-2</v>
      </c>
      <c r="H42" s="14">
        <v>2.39</v>
      </c>
      <c r="I42" s="14">
        <f t="shared" si="10"/>
        <v>-2.9999999999999805E-2</v>
      </c>
      <c r="J42" s="15">
        <v>255.29599999999999</v>
      </c>
      <c r="K42" s="13">
        <f t="shared" si="5"/>
        <v>1.7959105553606136E-2</v>
      </c>
      <c r="L42" s="12">
        <v>14704.4</v>
      </c>
      <c r="M42" s="13">
        <f t="shared" si="6"/>
        <v>4.3427663137577621E-2</v>
      </c>
      <c r="N42" s="15">
        <v>0</v>
      </c>
      <c r="O42" s="13">
        <f t="shared" si="4"/>
        <v>0.20428970420985695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11">
        <v>43617</v>
      </c>
      <c r="B43" s="12">
        <v>10817.16</v>
      </c>
      <c r="C43" s="13">
        <f t="shared" si="7"/>
        <v>0.23234107975654225</v>
      </c>
      <c r="D43" s="12">
        <v>2941.76</v>
      </c>
      <c r="E43" s="13">
        <f t="shared" si="8"/>
        <v>6.6658319534241436E-2</v>
      </c>
      <c r="F43" s="12">
        <v>1409.7</v>
      </c>
      <c r="G43" s="13">
        <f t="shared" si="9"/>
        <v>7.6561036024346649E-2</v>
      </c>
      <c r="H43" s="14">
        <v>2.38</v>
      </c>
      <c r="I43" s="14">
        <f t="shared" si="10"/>
        <v>-1.0000000000000231E-2</v>
      </c>
      <c r="J43" s="15">
        <v>255.21299999999999</v>
      </c>
      <c r="K43" s="13">
        <f t="shared" si="5"/>
        <v>1.671194894390049E-2</v>
      </c>
      <c r="L43" s="12">
        <v>14802.8</v>
      </c>
      <c r="M43" s="13">
        <f t="shared" si="6"/>
        <v>4.7081458846164548E-2</v>
      </c>
      <c r="N43" s="15">
        <v>0</v>
      </c>
      <c r="O43" s="13">
        <f t="shared" si="4"/>
        <v>0.1297327160355117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11">
        <v>43647</v>
      </c>
      <c r="B44" s="12">
        <v>10085.629999999999</v>
      </c>
      <c r="C44" s="13">
        <f t="shared" si="7"/>
        <v>-7.0022123602153208E-2</v>
      </c>
      <c r="D44" s="12">
        <v>2980.38</v>
      </c>
      <c r="E44" s="13">
        <f t="shared" si="8"/>
        <v>1.3042767473010496E-2</v>
      </c>
      <c r="F44" s="12">
        <v>1426.1</v>
      </c>
      <c r="G44" s="13">
        <f t="shared" si="9"/>
        <v>1.1566529965841552E-2</v>
      </c>
      <c r="H44" s="14">
        <v>2.4</v>
      </c>
      <c r="I44" s="14">
        <f t="shared" si="10"/>
        <v>2.0000000000000018E-2</v>
      </c>
      <c r="J44" s="15">
        <v>255.80199999999999</v>
      </c>
      <c r="K44" s="13">
        <f t="shared" si="5"/>
        <v>1.826331335037068E-2</v>
      </c>
      <c r="L44" s="12">
        <v>14886.8</v>
      </c>
      <c r="M44" s="13">
        <f t="shared" si="6"/>
        <v>5.024480408618226E-2</v>
      </c>
      <c r="N44" s="15">
        <v>0</v>
      </c>
      <c r="O44" s="13">
        <f t="shared" si="4"/>
        <v>0.27140372717457906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11">
        <v>43678</v>
      </c>
      <c r="B45" s="12">
        <v>9630.66</v>
      </c>
      <c r="C45" s="13">
        <f t="shared" si="7"/>
        <v>-4.6159879181346751E-2</v>
      </c>
      <c r="D45" s="12">
        <v>2926.46</v>
      </c>
      <c r="E45" s="13">
        <f t="shared" si="8"/>
        <v>-1.8257307714875135E-2</v>
      </c>
      <c r="F45" s="12">
        <v>1519.1</v>
      </c>
      <c r="G45" s="13">
        <f t="shared" si="9"/>
        <v>6.3174608470895607E-2</v>
      </c>
      <c r="H45" s="14">
        <v>2.13</v>
      </c>
      <c r="I45" s="14">
        <f t="shared" si="10"/>
        <v>-0.27</v>
      </c>
      <c r="J45" s="15">
        <v>256.036</v>
      </c>
      <c r="K45" s="13">
        <f t="shared" si="5"/>
        <v>1.7376412106666406E-2</v>
      </c>
      <c r="L45" s="12">
        <v>14974.4</v>
      </c>
      <c r="M45" s="13">
        <f t="shared" si="6"/>
        <v>5.281511896057145E-2</v>
      </c>
      <c r="N45" s="15">
        <v>0</v>
      </c>
      <c r="O45" s="13">
        <f t="shared" si="4"/>
        <v>0.16810497592449677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1">
        <v>43709</v>
      </c>
      <c r="B46" s="12">
        <v>8293.8700000000008</v>
      </c>
      <c r="C46" s="13">
        <f t="shared" si="7"/>
        <v>-0.14943507156694658</v>
      </c>
      <c r="D46" s="12">
        <v>2976.74</v>
      </c>
      <c r="E46" s="13">
        <f t="shared" si="8"/>
        <v>1.7035240523677681E-2</v>
      </c>
      <c r="F46" s="12">
        <v>1465.7</v>
      </c>
      <c r="G46" s="13">
        <f t="shared" si="9"/>
        <v>-3.5785110180361908E-2</v>
      </c>
      <c r="H46" s="14">
        <v>2.04</v>
      </c>
      <c r="I46" s="14">
        <f t="shared" si="10"/>
        <v>-8.9999999999999858E-2</v>
      </c>
      <c r="J46" s="15">
        <v>256.43</v>
      </c>
      <c r="K46" s="13">
        <f t="shared" si="5"/>
        <v>1.6844977040391562E-2</v>
      </c>
      <c r="L46" s="12">
        <v>15047</v>
      </c>
      <c r="M46" s="13">
        <f t="shared" ref="M46:M77" si="11">L46/L34-1</f>
        <v>5.6263381418693692E-2</v>
      </c>
      <c r="N46" s="15">
        <v>0</v>
      </c>
      <c r="O46" s="13">
        <f t="shared" si="4"/>
        <v>5.4070306662622046E-2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11">
        <v>43739</v>
      </c>
      <c r="B47" s="12">
        <v>9199.58</v>
      </c>
      <c r="C47" s="13">
        <f t="shared" si="7"/>
        <v>0.10364114311882913</v>
      </c>
      <c r="D47" s="12">
        <v>3037.56</v>
      </c>
      <c r="E47" s="13">
        <f t="shared" si="8"/>
        <v>2.0225819582931022E-2</v>
      </c>
      <c r="F47" s="12">
        <v>1511.4</v>
      </c>
      <c r="G47" s="13">
        <f t="shared" si="9"/>
        <v>3.0703429553364626E-2</v>
      </c>
      <c r="H47" s="14">
        <v>1.83</v>
      </c>
      <c r="I47" s="14">
        <f t="shared" si="10"/>
        <v>-0.20999999999999996</v>
      </c>
      <c r="J47" s="15">
        <v>257.15499999999997</v>
      </c>
      <c r="K47" s="13">
        <f t="shared" si="5"/>
        <v>1.7339736996186295E-2</v>
      </c>
      <c r="L47" s="12">
        <v>15184.1</v>
      </c>
      <c r="M47" s="13">
        <f t="shared" si="11"/>
        <v>6.5057587363045899E-2</v>
      </c>
      <c r="N47" s="15">
        <v>0</v>
      </c>
      <c r="O47" s="13">
        <f t="shared" si="4"/>
        <v>0.12724889134038411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11">
        <v>43770</v>
      </c>
      <c r="B48" s="12">
        <v>7569.63</v>
      </c>
      <c r="C48" s="13">
        <f t="shared" si="7"/>
        <v>-0.19501364173079005</v>
      </c>
      <c r="D48" s="12">
        <v>3140.98</v>
      </c>
      <c r="E48" s="13">
        <f t="shared" si="8"/>
        <v>3.3480291579323126E-2</v>
      </c>
      <c r="F48" s="12">
        <v>1465.6</v>
      </c>
      <c r="G48" s="13">
        <f t="shared" si="9"/>
        <v>-3.0771658666753774E-2</v>
      </c>
      <c r="H48" s="14">
        <v>1.55</v>
      </c>
      <c r="I48" s="14">
        <f t="shared" si="10"/>
        <v>-0.28000000000000003</v>
      </c>
      <c r="J48" s="15">
        <v>257.87900000000002</v>
      </c>
      <c r="K48" s="13">
        <f t="shared" si="5"/>
        <v>2.0922903948629168E-2</v>
      </c>
      <c r="L48" s="12">
        <v>15296</v>
      </c>
      <c r="M48" s="13">
        <f t="shared" si="11"/>
        <v>7.0938471448175555E-2</v>
      </c>
      <c r="N48" s="15">
        <v>0</v>
      </c>
      <c r="O48" s="13">
        <f t="shared" si="4"/>
        <v>0.16089316176241175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11">
        <v>43800</v>
      </c>
      <c r="B49" s="12">
        <v>7193.6</v>
      </c>
      <c r="C49" s="13">
        <f t="shared" si="7"/>
        <v>-5.0952447271073724E-2</v>
      </c>
      <c r="D49" s="12">
        <v>3230.78</v>
      </c>
      <c r="E49" s="13">
        <f t="shared" si="8"/>
        <v>2.818874101228944E-2</v>
      </c>
      <c r="F49" s="12">
        <v>1519.5</v>
      </c>
      <c r="G49" s="13">
        <f t="shared" si="9"/>
        <v>3.6116618436982058E-2</v>
      </c>
      <c r="H49" s="14">
        <v>1.55</v>
      </c>
      <c r="I49" s="14">
        <f t="shared" si="10"/>
        <v>0</v>
      </c>
      <c r="J49" s="15">
        <v>258.63</v>
      </c>
      <c r="K49" s="13">
        <f t="shared" si="5"/>
        <v>2.3195274699624457E-2</v>
      </c>
      <c r="L49" s="12">
        <v>15347.5</v>
      </c>
      <c r="M49" s="13">
        <f t="shared" si="11"/>
        <v>6.6776489559874364E-2</v>
      </c>
      <c r="N49" s="15">
        <v>0</v>
      </c>
      <c r="O49" s="13">
        <f t="shared" si="4"/>
        <v>0.1493583422803324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11">
        <v>43831</v>
      </c>
      <c r="B50" s="12">
        <v>9350.5300000000007</v>
      </c>
      <c r="C50" s="13">
        <f t="shared" si="7"/>
        <v>0.26224128434894367</v>
      </c>
      <c r="D50" s="12">
        <v>3225.52</v>
      </c>
      <c r="E50" s="13">
        <f t="shared" si="8"/>
        <v>-1.6294165896177356E-3</v>
      </c>
      <c r="F50" s="12">
        <v>1582.9</v>
      </c>
      <c r="G50" s="13">
        <f t="shared" si="9"/>
        <v>4.0877274334844914E-2</v>
      </c>
      <c r="H50" s="14">
        <v>1.55</v>
      </c>
      <c r="I50" s="14">
        <f t="shared" si="10"/>
        <v>0</v>
      </c>
      <c r="J50" s="15">
        <v>259.12700000000001</v>
      </c>
      <c r="K50" s="13">
        <f t="shared" si="5"/>
        <v>2.599767976845202E-2</v>
      </c>
      <c r="L50" s="12">
        <v>15427.1</v>
      </c>
      <c r="M50" s="13">
        <f t="shared" si="11"/>
        <v>6.6903186096530343E-2</v>
      </c>
      <c r="N50" s="15">
        <v>0</v>
      </c>
      <c r="O50" s="13">
        <f t="shared" si="4"/>
        <v>0.23378266570307504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11">
        <v>43862</v>
      </c>
      <c r="B51" s="12">
        <v>8599.51</v>
      </c>
      <c r="C51" s="13">
        <f t="shared" si="7"/>
        <v>-8.3727801294029583E-2</v>
      </c>
      <c r="D51" s="12">
        <v>2954.22</v>
      </c>
      <c r="E51" s="13">
        <f t="shared" si="8"/>
        <v>-8.7859520936204846E-2</v>
      </c>
      <c r="F51" s="12">
        <v>1564.1</v>
      </c>
      <c r="G51" s="13">
        <f t="shared" si="9"/>
        <v>-1.1948029011496974E-2</v>
      </c>
      <c r="H51" s="14">
        <v>1.58</v>
      </c>
      <c r="I51" s="14">
        <f t="shared" si="10"/>
        <v>3.0000000000000027E-2</v>
      </c>
      <c r="J51" s="15">
        <v>259.25</v>
      </c>
      <c r="K51" s="13">
        <f t="shared" si="5"/>
        <v>2.3413166797595197E-2</v>
      </c>
      <c r="L51" s="12">
        <v>15493.4</v>
      </c>
      <c r="M51" s="13">
        <f t="shared" si="11"/>
        <v>6.8046297126076238E-2</v>
      </c>
      <c r="N51" s="15">
        <v>0</v>
      </c>
      <c r="O51" s="13">
        <f t="shared" si="4"/>
        <v>0.19098828305162097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11">
        <v>43891</v>
      </c>
      <c r="B52" s="12">
        <v>6438.64</v>
      </c>
      <c r="C52" s="13">
        <f t="shared" si="7"/>
        <v>-0.2893878872016632</v>
      </c>
      <c r="D52" s="12">
        <v>2584.59</v>
      </c>
      <c r="E52" s="13">
        <f t="shared" si="8"/>
        <v>-0.13366776859296695</v>
      </c>
      <c r="F52" s="12">
        <v>1583.4</v>
      </c>
      <c r="G52" s="13">
        <f t="shared" si="9"/>
        <v>1.2263855057137743E-2</v>
      </c>
      <c r="H52" s="14">
        <v>0.65</v>
      </c>
      <c r="I52" s="14">
        <f t="shared" si="10"/>
        <v>-0.93</v>
      </c>
      <c r="J52" s="15">
        <v>258.07600000000002</v>
      </c>
      <c r="K52" s="13">
        <f t="shared" si="5"/>
        <v>1.4940399642909163E-2</v>
      </c>
      <c r="L52" s="12">
        <v>16033</v>
      </c>
      <c r="M52" s="13">
        <f t="shared" si="11"/>
        <v>0.10135668899192862</v>
      </c>
      <c r="N52" s="15">
        <v>0</v>
      </c>
      <c r="O52" s="13">
        <f t="shared" si="4"/>
        <v>0.27877273362059019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11">
        <v>43922</v>
      </c>
      <c r="B53" s="12">
        <v>8658.5499999999993</v>
      </c>
      <c r="C53" s="13">
        <f t="shared" si="7"/>
        <v>0.29622993437530604</v>
      </c>
      <c r="D53" s="12">
        <v>2912.43</v>
      </c>
      <c r="E53" s="13">
        <f t="shared" si="8"/>
        <v>0.11942089623740584</v>
      </c>
      <c r="F53" s="12">
        <v>1684.2</v>
      </c>
      <c r="G53" s="13">
        <f t="shared" si="9"/>
        <v>6.171623985855846E-2</v>
      </c>
      <c r="H53" s="14">
        <v>0.05</v>
      </c>
      <c r="I53" s="14">
        <f t="shared" si="10"/>
        <v>-0.6</v>
      </c>
      <c r="J53" s="15">
        <v>256.03199999999998</v>
      </c>
      <c r="K53" s="13">
        <f t="shared" si="5"/>
        <v>3.1304729404111331E-3</v>
      </c>
      <c r="L53" s="12">
        <v>17065.3</v>
      </c>
      <c r="M53" s="13">
        <f t="shared" si="11"/>
        <v>0.16928062926952925</v>
      </c>
      <c r="N53" s="15">
        <v>0</v>
      </c>
      <c r="O53" s="13">
        <f t="shared" si="4"/>
        <v>0.29710048378145815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1">
        <v>43952</v>
      </c>
      <c r="B54" s="12">
        <v>9461.06</v>
      </c>
      <c r="C54" s="13">
        <f t="shared" si="7"/>
        <v>8.8637155460846939E-2</v>
      </c>
      <c r="D54" s="12">
        <v>3044.31</v>
      </c>
      <c r="E54" s="13">
        <f t="shared" si="8"/>
        <v>4.4286490230530599E-2</v>
      </c>
      <c r="F54" s="12">
        <v>1736.9</v>
      </c>
      <c r="G54" s="13">
        <f t="shared" si="9"/>
        <v>3.0811241464075146E-2</v>
      </c>
      <c r="H54" s="14">
        <v>0.05</v>
      </c>
      <c r="I54" s="14">
        <f t="shared" si="10"/>
        <v>0</v>
      </c>
      <c r="J54" s="15">
        <v>255.80199999999999</v>
      </c>
      <c r="K54" s="13">
        <f t="shared" si="5"/>
        <v>1.982013035848551E-3</v>
      </c>
      <c r="L54" s="12">
        <v>17932.900000000001</v>
      </c>
      <c r="M54" s="13">
        <f t="shared" si="11"/>
        <v>0.21956013166127164</v>
      </c>
      <c r="N54" s="15">
        <v>1</v>
      </c>
      <c r="O54" s="13">
        <f t="shared" si="4"/>
        <v>0.29691354737419645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1">
        <v>43983</v>
      </c>
      <c r="B55" s="12">
        <v>9137.99</v>
      </c>
      <c r="C55" s="13">
        <f t="shared" si="7"/>
        <v>-3.4743978717411902E-2</v>
      </c>
      <c r="D55" s="12">
        <v>3100.29</v>
      </c>
      <c r="E55" s="13">
        <f t="shared" si="8"/>
        <v>1.8221381004063585E-2</v>
      </c>
      <c r="F55" s="12">
        <v>1793</v>
      </c>
      <c r="G55" s="13">
        <f t="shared" si="9"/>
        <v>3.1788279545165922E-2</v>
      </c>
      <c r="H55" s="14">
        <v>0.08</v>
      </c>
      <c r="I55" s="14">
        <f t="shared" si="10"/>
        <v>0.03</v>
      </c>
      <c r="J55" s="15">
        <v>257.04199999999997</v>
      </c>
      <c r="K55" s="13">
        <f t="shared" si="5"/>
        <v>7.1665628318304808E-3</v>
      </c>
      <c r="L55" s="12">
        <v>18184.3</v>
      </c>
      <c r="M55" s="13">
        <f t="shared" si="11"/>
        <v>0.22843651201124104</v>
      </c>
      <c r="N55" s="15">
        <v>1</v>
      </c>
      <c r="O55" s="13">
        <f t="shared" si="4"/>
        <v>0.16726296525553558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1">
        <v>44013</v>
      </c>
      <c r="B56" s="12">
        <v>11323.47</v>
      </c>
      <c r="C56" s="13">
        <f t="shared" si="7"/>
        <v>0.21443711409549432</v>
      </c>
      <c r="D56" s="12">
        <v>3271.12</v>
      </c>
      <c r="E56" s="13">
        <f t="shared" si="8"/>
        <v>5.3636778409248576E-2</v>
      </c>
      <c r="F56" s="12">
        <v>1962.8</v>
      </c>
      <c r="G56" s="13">
        <f t="shared" si="9"/>
        <v>9.0481830610615363E-2</v>
      </c>
      <c r="H56" s="14">
        <v>0.09</v>
      </c>
      <c r="I56" s="14">
        <f t="shared" si="10"/>
        <v>9.999999999999995E-3</v>
      </c>
      <c r="J56" s="15">
        <v>258.35199999999998</v>
      </c>
      <c r="K56" s="13">
        <f t="shared" si="5"/>
        <v>9.9686476258979972E-3</v>
      </c>
      <c r="L56" s="12">
        <v>18335.400000000001</v>
      </c>
      <c r="M56" s="13">
        <f t="shared" si="11"/>
        <v>0.23165488889485997</v>
      </c>
      <c r="N56" s="15">
        <v>1</v>
      </c>
      <c r="O56" s="13">
        <f t="shared" si="4"/>
        <v>0.12459250303758697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1">
        <v>44044</v>
      </c>
      <c r="B57" s="12">
        <v>11680.82</v>
      </c>
      <c r="C57" s="13">
        <f t="shared" si="7"/>
        <v>3.1070617510631959E-2</v>
      </c>
      <c r="D57" s="12">
        <v>3500.31</v>
      </c>
      <c r="E57" s="13">
        <f t="shared" si="8"/>
        <v>6.7719102089653677E-2</v>
      </c>
      <c r="F57" s="12">
        <v>1967.6</v>
      </c>
      <c r="G57" s="13">
        <f t="shared" si="9"/>
        <v>2.4425007054363367E-3</v>
      </c>
      <c r="H57" s="14">
        <v>0.1</v>
      </c>
      <c r="I57" s="14">
        <f t="shared" si="10"/>
        <v>1.0000000000000009E-2</v>
      </c>
      <c r="J57" s="15">
        <v>259.31599999999997</v>
      </c>
      <c r="K57" s="13">
        <f t="shared" si="5"/>
        <v>1.2810698495523853E-2</v>
      </c>
      <c r="L57" s="12">
        <v>18411.2</v>
      </c>
      <c r="M57" s="13">
        <f t="shared" si="11"/>
        <v>0.2295116999679454</v>
      </c>
      <c r="N57" s="15">
        <v>0</v>
      </c>
      <c r="O57" s="13">
        <f t="shared" si="4"/>
        <v>0.12912916670392541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11">
        <v>44075</v>
      </c>
      <c r="B58" s="12">
        <v>10784.49</v>
      </c>
      <c r="C58" s="13">
        <f t="shared" si="7"/>
        <v>-7.9839189592092907E-2</v>
      </c>
      <c r="D58" s="12">
        <v>3363</v>
      </c>
      <c r="E58" s="13">
        <f t="shared" si="8"/>
        <v>-4.0018103243589488E-2</v>
      </c>
      <c r="F58" s="12">
        <v>1887.5</v>
      </c>
      <c r="G58" s="13">
        <f t="shared" si="9"/>
        <v>-4.1561323798004902E-2</v>
      </c>
      <c r="H58" s="14">
        <v>0.09</v>
      </c>
      <c r="I58" s="14">
        <f t="shared" si="10"/>
        <v>-1.0000000000000009E-2</v>
      </c>
      <c r="J58" s="15">
        <v>259.99700000000001</v>
      </c>
      <c r="K58" s="13">
        <f t="shared" si="5"/>
        <v>1.3910228912373812E-2</v>
      </c>
      <c r="L58" s="12">
        <v>18602.5</v>
      </c>
      <c r="M58" s="13">
        <f t="shared" si="11"/>
        <v>0.23629294876055029</v>
      </c>
      <c r="N58" s="15">
        <v>0</v>
      </c>
      <c r="O58" s="13">
        <f t="shared" si="4"/>
        <v>0.14861740605404594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1">
        <v>44105</v>
      </c>
      <c r="B59" s="12">
        <v>13781</v>
      </c>
      <c r="C59" s="13">
        <f t="shared" si="7"/>
        <v>0.24518184106985697</v>
      </c>
      <c r="D59" s="12">
        <v>3269.96</v>
      </c>
      <c r="E59" s="13">
        <f t="shared" si="8"/>
        <v>-2.8055680339689231E-2</v>
      </c>
      <c r="F59" s="12">
        <v>1877.4</v>
      </c>
      <c r="G59" s="13">
        <f t="shared" si="9"/>
        <v>-5.3653612202882181E-3</v>
      </c>
      <c r="H59" s="14">
        <v>0.09</v>
      </c>
      <c r="I59" s="14">
        <f t="shared" si="10"/>
        <v>0</v>
      </c>
      <c r="J59" s="15">
        <v>260.31900000000002</v>
      </c>
      <c r="K59" s="13">
        <f t="shared" si="5"/>
        <v>1.2303863428671624E-2</v>
      </c>
      <c r="L59" s="12">
        <v>18757.599999999999</v>
      </c>
      <c r="M59" s="13">
        <f t="shared" si="11"/>
        <v>0.2353448673283236</v>
      </c>
      <c r="N59" s="15">
        <v>0</v>
      </c>
      <c r="O59" s="13">
        <f t="shared" si="4"/>
        <v>0.16521867919929042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1">
        <v>44136</v>
      </c>
      <c r="B60" s="12">
        <v>19625.84</v>
      </c>
      <c r="C60" s="13">
        <f t="shared" si="7"/>
        <v>0.35355623340723208</v>
      </c>
      <c r="D60" s="12">
        <v>3621.63</v>
      </c>
      <c r="E60" s="13">
        <f t="shared" si="8"/>
        <v>0.10214644831840361</v>
      </c>
      <c r="F60" s="12">
        <v>1775.7</v>
      </c>
      <c r="G60" s="13">
        <f t="shared" si="9"/>
        <v>-5.5693129538102452E-2</v>
      </c>
      <c r="H60" s="14">
        <v>0.09</v>
      </c>
      <c r="I60" s="14">
        <f t="shared" si="10"/>
        <v>0</v>
      </c>
      <c r="J60" s="15">
        <v>260.911</v>
      </c>
      <c r="K60" s="13">
        <f t="shared" si="5"/>
        <v>1.1757452138405844E-2</v>
      </c>
      <c r="L60" s="12">
        <v>18997</v>
      </c>
      <c r="M60" s="13">
        <f t="shared" si="11"/>
        <v>0.24195868200836812</v>
      </c>
      <c r="N60" s="15">
        <v>0</v>
      </c>
      <c r="O60" s="13">
        <f t="shared" si="4"/>
        <v>0.225542040413687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1">
        <v>44166</v>
      </c>
      <c r="B61" s="12">
        <v>29001.72</v>
      </c>
      <c r="C61" s="13">
        <f t="shared" si="7"/>
        <v>0.39050807327227272</v>
      </c>
      <c r="D61" s="12">
        <v>3756.07</v>
      </c>
      <c r="E61" s="13">
        <f t="shared" si="8"/>
        <v>3.6448997283216107E-2</v>
      </c>
      <c r="F61" s="12">
        <v>1893.1</v>
      </c>
      <c r="G61" s="13">
        <f t="shared" si="9"/>
        <v>6.4020985651075057E-2</v>
      </c>
      <c r="H61" s="14">
        <v>0.09</v>
      </c>
      <c r="I61" s="14">
        <f t="shared" si="10"/>
        <v>0</v>
      </c>
      <c r="J61" s="15">
        <v>262.04500000000002</v>
      </c>
      <c r="K61" s="13">
        <f t="shared" si="5"/>
        <v>1.3204191315779434E-2</v>
      </c>
      <c r="L61" s="12">
        <v>19115.7</v>
      </c>
      <c r="M61" s="13">
        <f t="shared" si="11"/>
        <v>0.24552532985828313</v>
      </c>
      <c r="N61" s="15">
        <v>0</v>
      </c>
      <c r="O61" s="13">
        <f t="shared" si="4"/>
        <v>7.553162819867533E-2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1">
        <v>44197</v>
      </c>
      <c r="B62" s="12">
        <v>33114.36</v>
      </c>
      <c r="C62" s="13">
        <f t="shared" si="7"/>
        <v>0.13261188658851009</v>
      </c>
      <c r="D62" s="12">
        <v>3714.24</v>
      </c>
      <c r="E62" s="13">
        <f t="shared" si="8"/>
        <v>-1.1199116821942242E-2</v>
      </c>
      <c r="F62" s="12">
        <v>1847.3</v>
      </c>
      <c r="G62" s="13">
        <f t="shared" si="9"/>
        <v>-2.4490583451272536E-2</v>
      </c>
      <c r="H62" s="14">
        <v>0.09</v>
      </c>
      <c r="I62" s="14">
        <f t="shared" si="10"/>
        <v>0</v>
      </c>
      <c r="J62" s="15">
        <v>262.68700000000001</v>
      </c>
      <c r="K62" s="13">
        <f t="shared" si="5"/>
        <v>1.3738437137002402E-2</v>
      </c>
      <c r="L62" s="12">
        <v>19379</v>
      </c>
      <c r="M62" s="13">
        <f t="shared" si="11"/>
        <v>0.2561660973222446</v>
      </c>
      <c r="N62" s="15">
        <v>0</v>
      </c>
      <c r="O62" s="13">
        <f t="shared" si="4"/>
        <v>0.13945864737535973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11">
        <v>44228</v>
      </c>
      <c r="B63" s="12">
        <v>45137.77</v>
      </c>
      <c r="C63" s="13">
        <f t="shared" si="7"/>
        <v>0.30975234314717737</v>
      </c>
      <c r="D63" s="12">
        <v>3811.15</v>
      </c>
      <c r="E63" s="13">
        <f t="shared" si="8"/>
        <v>2.5756899667125591E-2</v>
      </c>
      <c r="F63" s="12">
        <v>1728.1</v>
      </c>
      <c r="G63" s="13">
        <f t="shared" si="9"/>
        <v>-6.6702574504645673E-2</v>
      </c>
      <c r="H63" s="14">
        <v>0.08</v>
      </c>
      <c r="I63" s="14">
        <f t="shared" si="10"/>
        <v>-9.999999999999995E-3</v>
      </c>
      <c r="J63" s="15">
        <v>263.57900000000001</v>
      </c>
      <c r="K63" s="13">
        <f t="shared" si="5"/>
        <v>1.6698167791706853E-2</v>
      </c>
      <c r="L63" s="12">
        <v>19641.8</v>
      </c>
      <c r="M63" s="13">
        <f t="shared" si="11"/>
        <v>0.26775272051325083</v>
      </c>
      <c r="N63" s="15">
        <v>0</v>
      </c>
      <c r="O63" s="13">
        <f t="shared" si="4"/>
        <v>0.13191580168417819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11">
        <v>44256</v>
      </c>
      <c r="B64" s="12">
        <v>58918.83</v>
      </c>
      <c r="C64" s="13">
        <f t="shared" si="7"/>
        <v>0.26644136565525939</v>
      </c>
      <c r="D64" s="12">
        <v>3972.89</v>
      </c>
      <c r="E64" s="13">
        <f t="shared" si="8"/>
        <v>4.1562808697442971E-2</v>
      </c>
      <c r="F64" s="12">
        <v>1713.8</v>
      </c>
      <c r="G64" s="13">
        <f t="shared" si="9"/>
        <v>-8.3094118249275335E-3</v>
      </c>
      <c r="H64" s="14">
        <v>7.0000000000000007E-2</v>
      </c>
      <c r="I64" s="14">
        <f t="shared" si="10"/>
        <v>-9.999999999999995E-3</v>
      </c>
      <c r="J64" s="15">
        <v>264.96100000000001</v>
      </c>
      <c r="K64" s="13">
        <f t="shared" si="5"/>
        <v>2.6678187820641908E-2</v>
      </c>
      <c r="L64" s="12">
        <v>19873.2</v>
      </c>
      <c r="M64" s="13">
        <f t="shared" si="11"/>
        <v>0.2395184931079648</v>
      </c>
      <c r="N64" s="15">
        <v>0</v>
      </c>
      <c r="O64" s="13">
        <f t="shared" si="4"/>
        <v>9.2344384045445163E-2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11">
        <v>44287</v>
      </c>
      <c r="B65" s="12">
        <v>57750.18</v>
      </c>
      <c r="C65" s="13">
        <f t="shared" si="7"/>
        <v>-2.0034267683297247E-2</v>
      </c>
      <c r="D65" s="12">
        <v>4181.17</v>
      </c>
      <c r="E65" s="13">
        <f t="shared" si="8"/>
        <v>5.1097322114293922E-2</v>
      </c>
      <c r="F65" s="12">
        <v>1767.3</v>
      </c>
      <c r="G65" s="13">
        <f t="shared" si="9"/>
        <v>3.0739830960732965E-2</v>
      </c>
      <c r="H65" s="14">
        <v>7.0000000000000007E-2</v>
      </c>
      <c r="I65" s="14">
        <f t="shared" si="10"/>
        <v>0</v>
      </c>
      <c r="J65" s="15">
        <v>266.61399999999998</v>
      </c>
      <c r="K65" s="13">
        <f t="shared" si="5"/>
        <v>4.1330771153605728E-2</v>
      </c>
      <c r="L65" s="12">
        <v>20175.400000000001</v>
      </c>
      <c r="M65" s="13">
        <f t="shared" si="11"/>
        <v>0.18224701587431813</v>
      </c>
      <c r="N65" s="15">
        <v>0</v>
      </c>
      <c r="O65" s="13">
        <f t="shared" si="4"/>
        <v>0.17921278690943696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11">
        <v>44317</v>
      </c>
      <c r="B66" s="12">
        <v>37332.85</v>
      </c>
      <c r="C66" s="13">
        <f t="shared" si="7"/>
        <v>-0.43625283016555466</v>
      </c>
      <c r="D66" s="12">
        <v>4204.1099999999997</v>
      </c>
      <c r="E66" s="13">
        <f t="shared" si="8"/>
        <v>5.4715065520221503E-3</v>
      </c>
      <c r="F66" s="12">
        <v>1902.5</v>
      </c>
      <c r="G66" s="13">
        <f t="shared" si="9"/>
        <v>7.3715852540089513E-2</v>
      </c>
      <c r="H66" s="14">
        <v>0.06</v>
      </c>
      <c r="I66" s="14">
        <f t="shared" si="10"/>
        <v>-1.0000000000000009E-2</v>
      </c>
      <c r="J66" s="15">
        <v>268.38299999999998</v>
      </c>
      <c r="K66" s="13">
        <f t="shared" si="5"/>
        <v>4.9182570894676259E-2</v>
      </c>
      <c r="L66" s="12">
        <v>20459</v>
      </c>
      <c r="M66" s="13">
        <f t="shared" si="11"/>
        <v>0.14086399857245602</v>
      </c>
      <c r="N66" s="15">
        <v>0</v>
      </c>
      <c r="O66" s="13">
        <f t="shared" si="4"/>
        <v>0.35333773104773863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11">
        <v>44348</v>
      </c>
      <c r="B67" s="12">
        <v>35040.839999999997</v>
      </c>
      <c r="C67" s="13">
        <f t="shared" ref="C67:C98" si="12">LN(B67/B66)</f>
        <v>-6.3359397731015649E-2</v>
      </c>
      <c r="D67" s="12">
        <v>4297.5</v>
      </c>
      <c r="E67" s="13">
        <f t="shared" ref="E67:E98" si="13">LN(D67/D66)</f>
        <v>2.1970840045862021E-2</v>
      </c>
      <c r="F67" s="12">
        <v>1770.8</v>
      </c>
      <c r="G67" s="13">
        <f t="shared" ref="G67:G98" si="14">LN(F67/F66)</f>
        <v>-7.1737388877854955E-2</v>
      </c>
      <c r="H67" s="14">
        <v>0.08</v>
      </c>
      <c r="I67" s="14">
        <f t="shared" ref="I67:I98" si="15">H67-H66</f>
        <v>2.0000000000000004E-2</v>
      </c>
      <c r="J67" s="15">
        <v>270.654</v>
      </c>
      <c r="K67" s="13">
        <f t="shared" si="5"/>
        <v>5.2956326203499993E-2</v>
      </c>
      <c r="L67" s="12">
        <v>20477.099999999999</v>
      </c>
      <c r="M67" s="13">
        <f t="shared" si="11"/>
        <v>0.12608678915328064</v>
      </c>
      <c r="N67" s="15">
        <v>0</v>
      </c>
      <c r="O67" s="13">
        <f t="shared" si="4"/>
        <v>0.22882470386785192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11">
        <v>44378</v>
      </c>
      <c r="B68" s="12">
        <v>41626.199999999997</v>
      </c>
      <c r="C68" s="13">
        <f t="shared" si="12"/>
        <v>0.17221553833030187</v>
      </c>
      <c r="D68" s="12">
        <v>4395.26</v>
      </c>
      <c r="E68" s="13">
        <f t="shared" si="13"/>
        <v>2.249322924674322E-2</v>
      </c>
      <c r="F68" s="12">
        <v>1812.6</v>
      </c>
      <c r="G68" s="13">
        <f t="shared" si="14"/>
        <v>2.3330856762695265E-2</v>
      </c>
      <c r="H68" s="14">
        <v>0.1</v>
      </c>
      <c r="I68" s="14">
        <f t="shared" si="15"/>
        <v>2.0000000000000004E-2</v>
      </c>
      <c r="J68" s="15">
        <v>271.90300000000002</v>
      </c>
      <c r="K68" s="13">
        <f t="shared" si="5"/>
        <v>5.2451693813092337E-2</v>
      </c>
      <c r="L68" s="12">
        <v>20633.3</v>
      </c>
      <c r="M68" s="13">
        <f t="shared" si="11"/>
        <v>0.12532587235620696</v>
      </c>
      <c r="N68" s="15">
        <v>0</v>
      </c>
      <c r="O68" s="13">
        <f t="shared" si="4"/>
        <v>0.30680580663592277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11">
        <v>44409</v>
      </c>
      <c r="B69" s="12">
        <v>47166.69</v>
      </c>
      <c r="C69" s="13">
        <f t="shared" si="12"/>
        <v>0.12495814640081296</v>
      </c>
      <c r="D69" s="12">
        <v>4522.68</v>
      </c>
      <c r="E69" s="13">
        <f t="shared" si="13"/>
        <v>2.857805096868915E-2</v>
      </c>
      <c r="F69" s="12">
        <v>1815</v>
      </c>
      <c r="G69" s="13">
        <f t="shared" si="14"/>
        <v>1.3231890782697932E-3</v>
      </c>
      <c r="H69" s="14">
        <v>0.09</v>
      </c>
      <c r="I69" s="14">
        <f t="shared" si="15"/>
        <v>-1.0000000000000009E-2</v>
      </c>
      <c r="J69" s="15">
        <v>272.67599999999999</v>
      </c>
      <c r="K69" s="13">
        <f t="shared" si="5"/>
        <v>5.1520153017939663E-2</v>
      </c>
      <c r="L69" s="12">
        <v>20840.7</v>
      </c>
      <c r="M69" s="13">
        <f t="shared" si="11"/>
        <v>0.13195772138698181</v>
      </c>
      <c r="N69" s="15">
        <v>0</v>
      </c>
      <c r="O69" s="13">
        <f t="shared" ref="O69:O123" si="16">_xlfn.STDEV.S(C67:C69)</f>
        <v>0.12462765143960787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11">
        <v>44440</v>
      </c>
      <c r="B70" s="12">
        <v>43790.9</v>
      </c>
      <c r="C70" s="13">
        <f t="shared" si="12"/>
        <v>-7.4261889875013962E-2</v>
      </c>
      <c r="D70" s="12">
        <v>4307.54</v>
      </c>
      <c r="E70" s="13">
        <f t="shared" si="13"/>
        <v>-4.8737762984622721E-2</v>
      </c>
      <c r="F70" s="12">
        <v>1755.3</v>
      </c>
      <c r="G70" s="13">
        <f t="shared" si="14"/>
        <v>-3.3445685236651097E-2</v>
      </c>
      <c r="H70" s="14">
        <v>0.08</v>
      </c>
      <c r="I70" s="14">
        <f t="shared" si="15"/>
        <v>-9.999999999999995E-3</v>
      </c>
      <c r="J70" s="15">
        <v>273.91000000000003</v>
      </c>
      <c r="K70" s="13">
        <f t="shared" si="5"/>
        <v>5.3512155909491321E-2</v>
      </c>
      <c r="L70" s="12">
        <v>20981</v>
      </c>
      <c r="M70" s="13">
        <f t="shared" si="11"/>
        <v>0.12785915871522646</v>
      </c>
      <c r="N70" s="15">
        <v>0</v>
      </c>
      <c r="O70" s="13">
        <f t="shared" si="16"/>
        <v>0.13081348462628367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11">
        <v>44470</v>
      </c>
      <c r="B71" s="12">
        <v>61318.96</v>
      </c>
      <c r="C71" s="13">
        <f t="shared" si="12"/>
        <v>0.33666306041135335</v>
      </c>
      <c r="D71" s="12">
        <v>4605.38</v>
      </c>
      <c r="E71" s="13">
        <f t="shared" si="13"/>
        <v>6.6858209798173654E-2</v>
      </c>
      <c r="F71" s="12">
        <v>1783</v>
      </c>
      <c r="G71" s="13">
        <f t="shared" si="14"/>
        <v>1.565755640084034E-2</v>
      </c>
      <c r="H71" s="14">
        <v>0.08</v>
      </c>
      <c r="I71" s="14">
        <f t="shared" si="15"/>
        <v>0</v>
      </c>
      <c r="J71" s="15">
        <v>276.55</v>
      </c>
      <c r="K71" s="13">
        <f t="shared" si="5"/>
        <v>6.2350423902980623E-2</v>
      </c>
      <c r="L71" s="12">
        <v>21160.7</v>
      </c>
      <c r="M71" s="13">
        <f t="shared" si="11"/>
        <v>0.12811340469996169</v>
      </c>
      <c r="N71" s="15">
        <v>0</v>
      </c>
      <c r="O71" s="13">
        <f t="shared" si="16"/>
        <v>0.20549408273630229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11">
        <v>44501</v>
      </c>
      <c r="B72" s="12">
        <v>57005.42</v>
      </c>
      <c r="C72" s="13">
        <f t="shared" si="12"/>
        <v>-7.2942742617748565E-2</v>
      </c>
      <c r="D72" s="12">
        <v>4567</v>
      </c>
      <c r="E72" s="13">
        <f t="shared" si="13"/>
        <v>-8.3686511009886007E-3</v>
      </c>
      <c r="F72" s="12">
        <v>1773.6</v>
      </c>
      <c r="G72" s="13">
        <f t="shared" si="14"/>
        <v>-5.2859595610387118E-3</v>
      </c>
      <c r="H72" s="14">
        <v>0.08</v>
      </c>
      <c r="I72" s="14">
        <f t="shared" si="15"/>
        <v>0</v>
      </c>
      <c r="J72" s="15">
        <v>278.91899999999998</v>
      </c>
      <c r="K72" s="13">
        <f t="shared" si="5"/>
        <v>6.9019704037008633E-2</v>
      </c>
      <c r="L72" s="12">
        <v>21335.9</v>
      </c>
      <c r="M72" s="13">
        <f t="shared" si="11"/>
        <v>0.12311943991156515</v>
      </c>
      <c r="N72" s="15">
        <v>0</v>
      </c>
      <c r="O72" s="13">
        <f t="shared" si="16"/>
        <v>0.23686774396712584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11">
        <v>44531</v>
      </c>
      <c r="B73" s="12">
        <v>46306.45</v>
      </c>
      <c r="C73" s="13">
        <f t="shared" si="12"/>
        <v>-0.20786509078839535</v>
      </c>
      <c r="D73" s="12">
        <v>4766.18</v>
      </c>
      <c r="E73" s="13">
        <f t="shared" si="13"/>
        <v>4.2688611280446646E-2</v>
      </c>
      <c r="F73" s="12">
        <v>1827.5</v>
      </c>
      <c r="G73" s="13">
        <f t="shared" si="14"/>
        <v>2.9937533321831845E-2</v>
      </c>
      <c r="H73" s="14">
        <v>0.08</v>
      </c>
      <c r="I73" s="14">
        <f t="shared" si="15"/>
        <v>0</v>
      </c>
      <c r="J73" s="15">
        <v>280.84500000000003</v>
      </c>
      <c r="K73" s="13">
        <f t="shared" si="5"/>
        <v>7.1743402850655391E-2</v>
      </c>
      <c r="L73" s="12">
        <v>21498.799999999999</v>
      </c>
      <c r="M73" s="13">
        <f t="shared" si="11"/>
        <v>0.1246671584090564</v>
      </c>
      <c r="N73" s="15">
        <v>0</v>
      </c>
      <c r="O73" s="13">
        <f t="shared" si="16"/>
        <v>0.28357593379317086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11">
        <v>44562</v>
      </c>
      <c r="B74" s="12">
        <v>38483.129999999997</v>
      </c>
      <c r="C74" s="13">
        <f t="shared" si="12"/>
        <v>-0.18506129679905201</v>
      </c>
      <c r="D74" s="12">
        <v>4515.55</v>
      </c>
      <c r="E74" s="13">
        <f t="shared" si="13"/>
        <v>-5.401814986501885E-2</v>
      </c>
      <c r="F74" s="12">
        <v>1795</v>
      </c>
      <c r="G74" s="13">
        <f t="shared" si="14"/>
        <v>-1.7943890701554308E-2</v>
      </c>
      <c r="H74" s="14">
        <v>0.08</v>
      </c>
      <c r="I74" s="14">
        <f t="shared" si="15"/>
        <v>0</v>
      </c>
      <c r="J74" s="15">
        <v>282.54300000000001</v>
      </c>
      <c r="K74" s="13">
        <f t="shared" si="5"/>
        <v>7.5588057269678322E-2</v>
      </c>
      <c r="L74" s="12">
        <v>21650</v>
      </c>
      <c r="M74" s="13">
        <f t="shared" si="11"/>
        <v>0.11718870942773107</v>
      </c>
      <c r="N74" s="15">
        <v>0</v>
      </c>
      <c r="O74" s="13">
        <f t="shared" si="16"/>
        <v>7.2220291755959592E-2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11">
        <v>44593</v>
      </c>
      <c r="B75" s="12">
        <v>43193.23</v>
      </c>
      <c r="C75" s="13">
        <f t="shared" si="12"/>
        <v>0.11546380656049188</v>
      </c>
      <c r="D75" s="12">
        <v>4373.9399999999996</v>
      </c>
      <c r="E75" s="13">
        <f t="shared" si="13"/>
        <v>-3.1862790878923103E-2</v>
      </c>
      <c r="F75" s="12">
        <v>1899.4</v>
      </c>
      <c r="G75" s="13">
        <f t="shared" si="14"/>
        <v>5.6533024886472896E-2</v>
      </c>
      <c r="H75" s="14">
        <v>0.08</v>
      </c>
      <c r="I75" s="14">
        <f t="shared" si="15"/>
        <v>0</v>
      </c>
      <c r="J75" s="15">
        <v>284.5</v>
      </c>
      <c r="K75" s="13">
        <f t="shared" si="5"/>
        <v>7.9372787665178191E-2</v>
      </c>
      <c r="L75" s="12">
        <v>21724.799999999999</v>
      </c>
      <c r="M75" s="13">
        <f t="shared" si="11"/>
        <v>0.10604934374649977</v>
      </c>
      <c r="N75" s="15">
        <v>0</v>
      </c>
      <c r="O75" s="13">
        <f t="shared" si="16"/>
        <v>0.18045171405412042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11">
        <v>44621</v>
      </c>
      <c r="B76" s="12">
        <v>45538.68</v>
      </c>
      <c r="C76" s="13">
        <f t="shared" si="12"/>
        <v>5.2878304701916984E-2</v>
      </c>
      <c r="D76" s="12">
        <v>4530.41</v>
      </c>
      <c r="E76" s="13">
        <f t="shared" si="13"/>
        <v>3.5148238386268404E-2</v>
      </c>
      <c r="F76" s="12">
        <v>1949.2</v>
      </c>
      <c r="G76" s="13">
        <f t="shared" si="14"/>
        <v>2.5880985160498894E-2</v>
      </c>
      <c r="H76" s="14">
        <v>0.2</v>
      </c>
      <c r="I76" s="14">
        <f t="shared" si="15"/>
        <v>0.12000000000000001</v>
      </c>
      <c r="J76" s="15">
        <v>287.67399999999998</v>
      </c>
      <c r="K76" s="13">
        <f t="shared" si="5"/>
        <v>8.5722049660138522E-2</v>
      </c>
      <c r="L76" s="12">
        <v>21786.799999999999</v>
      </c>
      <c r="M76" s="13">
        <f t="shared" si="11"/>
        <v>9.6290481653684257E-2</v>
      </c>
      <c r="N76" s="15">
        <v>0</v>
      </c>
      <c r="O76" s="13">
        <f t="shared" si="16"/>
        <v>0.15855994489708203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11">
        <v>44652</v>
      </c>
      <c r="B77" s="12">
        <v>37714.879999999997</v>
      </c>
      <c r="C77" s="13">
        <f t="shared" si="12"/>
        <v>-0.18850736316564817</v>
      </c>
      <c r="D77" s="12">
        <v>4131.93</v>
      </c>
      <c r="E77" s="13">
        <f t="shared" si="13"/>
        <v>-9.2067832960435178E-2</v>
      </c>
      <c r="F77" s="12">
        <v>1909.3</v>
      </c>
      <c r="G77" s="13">
        <f t="shared" si="14"/>
        <v>-2.0682349249932348E-2</v>
      </c>
      <c r="H77" s="14">
        <v>0.33</v>
      </c>
      <c r="I77" s="14">
        <f t="shared" si="15"/>
        <v>0.13</v>
      </c>
      <c r="J77" s="15">
        <v>288.56099999999998</v>
      </c>
      <c r="K77" s="13">
        <f t="shared" si="5"/>
        <v>8.2317507707772242E-2</v>
      </c>
      <c r="L77" s="12">
        <v>21769.5</v>
      </c>
      <c r="M77" s="13">
        <f t="shared" si="11"/>
        <v>7.9012064196992249E-2</v>
      </c>
      <c r="N77" s="15">
        <v>0</v>
      </c>
      <c r="O77" s="13">
        <f t="shared" si="16"/>
        <v>0.16051088110542433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11">
        <v>44682</v>
      </c>
      <c r="B78" s="12">
        <v>31792.31</v>
      </c>
      <c r="C78" s="13">
        <f t="shared" si="12"/>
        <v>-0.17083027489996488</v>
      </c>
      <c r="D78" s="12">
        <v>4132.1499999999996</v>
      </c>
      <c r="E78" s="13">
        <f t="shared" si="13"/>
        <v>5.3242466203463356E-5</v>
      </c>
      <c r="F78" s="12">
        <v>1842.7</v>
      </c>
      <c r="G78" s="13">
        <f t="shared" si="14"/>
        <v>-3.550479537860355E-2</v>
      </c>
      <c r="H78" s="14">
        <v>0.77</v>
      </c>
      <c r="I78" s="14">
        <f t="shared" si="15"/>
        <v>0.44</v>
      </c>
      <c r="J78" s="15">
        <v>291.298</v>
      </c>
      <c r="K78" s="13">
        <f t="shared" ref="K78:K123" si="17">J78/J66-1</f>
        <v>8.5381711956420636E-2</v>
      </c>
      <c r="L78" s="12">
        <v>21719.5</v>
      </c>
      <c r="M78" s="13">
        <f t="shared" ref="M78:M109" si="18">L78/L66-1</f>
        <v>6.161102693191256E-2</v>
      </c>
      <c r="N78" s="15">
        <v>0</v>
      </c>
      <c r="O78" s="13">
        <f t="shared" si="16"/>
        <v>0.13455175502937816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11">
        <v>44713</v>
      </c>
      <c r="B79" s="12">
        <v>19784.73</v>
      </c>
      <c r="C79" s="13">
        <f t="shared" si="12"/>
        <v>-0.47431400860042272</v>
      </c>
      <c r="D79" s="12">
        <v>3785.38</v>
      </c>
      <c r="E79" s="13">
        <f t="shared" si="13"/>
        <v>-8.7651574480173397E-2</v>
      </c>
      <c r="F79" s="12">
        <v>1804.1</v>
      </c>
      <c r="G79" s="13">
        <f t="shared" si="14"/>
        <v>-2.1170034882058004E-2</v>
      </c>
      <c r="H79" s="14">
        <v>1.21</v>
      </c>
      <c r="I79" s="14">
        <f t="shared" si="15"/>
        <v>0.43999999999999995</v>
      </c>
      <c r="J79" s="15">
        <v>294.95699999999999</v>
      </c>
      <c r="K79" s="13">
        <f t="shared" si="17"/>
        <v>8.9793611031057985E-2</v>
      </c>
      <c r="L79" s="12">
        <v>21651.200000000001</v>
      </c>
      <c r="M79" s="13">
        <f t="shared" si="18"/>
        <v>5.7337220602526884E-2</v>
      </c>
      <c r="N79" s="15">
        <v>0</v>
      </c>
      <c r="O79" s="13">
        <f t="shared" si="16"/>
        <v>0.17034293579179333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11">
        <v>44743</v>
      </c>
      <c r="B80" s="12">
        <v>23336.9</v>
      </c>
      <c r="C80" s="13">
        <f t="shared" si="12"/>
        <v>0.16512537080042042</v>
      </c>
      <c r="D80" s="12">
        <v>4130.29</v>
      </c>
      <c r="E80" s="13">
        <f t="shared" si="13"/>
        <v>8.7201344274224588E-2</v>
      </c>
      <c r="F80" s="12">
        <v>1762.9</v>
      </c>
      <c r="G80" s="13">
        <f t="shared" si="14"/>
        <v>-2.310167216705953E-2</v>
      </c>
      <c r="H80" s="14">
        <v>1.68</v>
      </c>
      <c r="I80" s="14">
        <f t="shared" si="15"/>
        <v>0.47</v>
      </c>
      <c r="J80" s="15">
        <v>294.91300000000001</v>
      </c>
      <c r="K80" s="13">
        <f t="shared" si="17"/>
        <v>8.4625767277300978E-2</v>
      </c>
      <c r="L80" s="12">
        <v>21652.799999999999</v>
      </c>
      <c r="M80" s="13">
        <f t="shared" si="18"/>
        <v>4.9410419079837009E-2</v>
      </c>
      <c r="N80" s="15">
        <v>0</v>
      </c>
      <c r="O80" s="13">
        <f t="shared" si="16"/>
        <v>0.31985707548509557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11">
        <v>44774</v>
      </c>
      <c r="B81" s="12">
        <v>20049.759999999998</v>
      </c>
      <c r="C81" s="13">
        <f t="shared" si="12"/>
        <v>-0.15181861523652054</v>
      </c>
      <c r="D81" s="12">
        <v>3955</v>
      </c>
      <c r="E81" s="13">
        <f t="shared" si="13"/>
        <v>-4.3367021205837172E-2</v>
      </c>
      <c r="F81" s="12">
        <v>1712.8</v>
      </c>
      <c r="G81" s="13">
        <f t="shared" si="14"/>
        <v>-2.8830722016224757E-2</v>
      </c>
      <c r="H81" s="14">
        <v>2.33</v>
      </c>
      <c r="I81" s="14">
        <f t="shared" si="15"/>
        <v>0.65000000000000013</v>
      </c>
      <c r="J81" s="15">
        <v>295.09699999999998</v>
      </c>
      <c r="K81" s="13">
        <f t="shared" si="17"/>
        <v>8.2225791782188251E-2</v>
      </c>
      <c r="L81" s="12">
        <v>21638.2</v>
      </c>
      <c r="M81" s="13">
        <f t="shared" si="18"/>
        <v>3.8266468976569934E-2</v>
      </c>
      <c r="N81" s="15">
        <v>0</v>
      </c>
      <c r="O81" s="13">
        <f t="shared" si="16"/>
        <v>0.31972370596982064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11">
        <v>44805</v>
      </c>
      <c r="B82" s="12">
        <v>19431.79</v>
      </c>
      <c r="C82" s="13">
        <f t="shared" si="12"/>
        <v>-3.1306798881073447E-2</v>
      </c>
      <c r="D82" s="12">
        <v>3585.62</v>
      </c>
      <c r="E82" s="13">
        <f t="shared" si="13"/>
        <v>-9.8049199303624351E-2</v>
      </c>
      <c r="F82" s="12">
        <v>1662.4</v>
      </c>
      <c r="G82" s="13">
        <f t="shared" si="14"/>
        <v>-2.9867116930510001E-2</v>
      </c>
      <c r="H82" s="14">
        <v>2.56</v>
      </c>
      <c r="I82" s="14">
        <f t="shared" si="15"/>
        <v>0.22999999999999998</v>
      </c>
      <c r="J82" s="15">
        <v>296.34899999999999</v>
      </c>
      <c r="K82" s="13">
        <f t="shared" si="17"/>
        <v>8.1921068964258215E-2</v>
      </c>
      <c r="L82" s="12">
        <v>21536.5</v>
      </c>
      <c r="M82" s="13">
        <f t="shared" si="18"/>
        <v>2.6476335732329215E-2</v>
      </c>
      <c r="N82" s="15">
        <v>0</v>
      </c>
      <c r="O82" s="13">
        <f t="shared" si="16"/>
        <v>0.15998030371061975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11">
        <v>44835</v>
      </c>
      <c r="B83" s="12">
        <v>20495.77</v>
      </c>
      <c r="C83" s="13">
        <f t="shared" si="12"/>
        <v>5.3308138664569377E-2</v>
      </c>
      <c r="D83" s="12">
        <v>3871.98</v>
      </c>
      <c r="E83" s="13">
        <f t="shared" si="13"/>
        <v>7.6834602195741328E-2</v>
      </c>
      <c r="F83" s="12">
        <v>1635.9</v>
      </c>
      <c r="G83" s="13">
        <f t="shared" si="14"/>
        <v>-1.6069229744837359E-2</v>
      </c>
      <c r="H83" s="14">
        <v>3.08</v>
      </c>
      <c r="I83" s="14">
        <f t="shared" si="15"/>
        <v>0.52</v>
      </c>
      <c r="J83" s="15">
        <v>298.00700000000001</v>
      </c>
      <c r="K83" s="13">
        <f t="shared" si="17"/>
        <v>7.7588139576930004E-2</v>
      </c>
      <c r="L83" s="12">
        <v>21461.5</v>
      </c>
      <c r="M83" s="13">
        <f t="shared" si="18"/>
        <v>1.4215030693691677E-2</v>
      </c>
      <c r="N83" s="15">
        <v>0</v>
      </c>
      <c r="O83" s="13">
        <f t="shared" si="16"/>
        <v>0.10308553948310788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11">
        <v>44866</v>
      </c>
      <c r="B84" s="12">
        <v>17168.57</v>
      </c>
      <c r="C84" s="13">
        <f t="shared" si="12"/>
        <v>-0.17713813674767465</v>
      </c>
      <c r="D84" s="12">
        <v>4080.11</v>
      </c>
      <c r="E84" s="13">
        <f t="shared" si="13"/>
        <v>5.2357944725214406E-2</v>
      </c>
      <c r="F84" s="12">
        <v>1746</v>
      </c>
      <c r="G84" s="13">
        <f t="shared" si="14"/>
        <v>6.5134345799421844E-2</v>
      </c>
      <c r="H84" s="14">
        <v>3.78</v>
      </c>
      <c r="I84" s="14">
        <f t="shared" si="15"/>
        <v>0.69999999999999973</v>
      </c>
      <c r="J84" s="15">
        <v>298.786</v>
      </c>
      <c r="K84" s="13">
        <f t="shared" si="17"/>
        <v>7.122856456533988E-2</v>
      </c>
      <c r="L84" s="12">
        <v>21406.5</v>
      </c>
      <c r="M84" s="13">
        <f t="shared" si="18"/>
        <v>3.3089768887180071E-3</v>
      </c>
      <c r="N84" s="15">
        <v>0</v>
      </c>
      <c r="O84" s="13">
        <f t="shared" si="16"/>
        <v>0.1165704026266185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11">
        <v>44896</v>
      </c>
      <c r="B85" s="12">
        <v>16547.5</v>
      </c>
      <c r="C85" s="13">
        <f t="shared" si="12"/>
        <v>-3.6845353631003684E-2</v>
      </c>
      <c r="D85" s="12">
        <v>3839.5</v>
      </c>
      <c r="E85" s="13">
        <f t="shared" si="13"/>
        <v>-6.0781799048487496E-2</v>
      </c>
      <c r="F85" s="12">
        <v>1819.7</v>
      </c>
      <c r="G85" s="13">
        <f t="shared" si="14"/>
        <v>4.1344194919649566E-2</v>
      </c>
      <c r="H85" s="14">
        <v>4.0999999999999996</v>
      </c>
      <c r="I85" s="14">
        <f t="shared" si="15"/>
        <v>0.31999999999999984</v>
      </c>
      <c r="J85" s="15">
        <v>298.83199999999999</v>
      </c>
      <c r="K85" s="13">
        <f t="shared" si="17"/>
        <v>6.4046004023571523E-2</v>
      </c>
      <c r="L85" s="12">
        <v>21291</v>
      </c>
      <c r="M85" s="13">
        <f t="shared" si="18"/>
        <v>-9.6656557575306445E-3</v>
      </c>
      <c r="N85" s="15">
        <v>0</v>
      </c>
      <c r="O85" s="13">
        <f t="shared" si="16"/>
        <v>0.1161286664430773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11">
        <v>44927</v>
      </c>
      <c r="B86" s="12">
        <v>23139.279999999999</v>
      </c>
      <c r="C86" s="13">
        <f t="shared" si="12"/>
        <v>0.33529657331804613</v>
      </c>
      <c r="D86" s="12">
        <v>4076.6</v>
      </c>
      <c r="E86" s="13">
        <f t="shared" si="13"/>
        <v>5.9921157879031649E-2</v>
      </c>
      <c r="F86" s="12">
        <v>1929.5</v>
      </c>
      <c r="G86" s="13">
        <f t="shared" si="14"/>
        <v>5.8589249658476339E-2</v>
      </c>
      <c r="H86" s="14">
        <v>4.33</v>
      </c>
      <c r="I86" s="14">
        <f t="shared" si="15"/>
        <v>0.23000000000000043</v>
      </c>
      <c r="J86" s="15">
        <v>300.42</v>
      </c>
      <c r="K86" s="13">
        <f t="shared" si="17"/>
        <v>6.327178517960097E-2</v>
      </c>
      <c r="L86" s="12">
        <v>21279.4</v>
      </c>
      <c r="M86" s="13">
        <f t="shared" si="18"/>
        <v>-1.7117782909930601E-2</v>
      </c>
      <c r="N86" s="15">
        <v>0</v>
      </c>
      <c r="O86" s="13">
        <f t="shared" si="16"/>
        <v>0.26481471851973298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11">
        <v>44958</v>
      </c>
      <c r="B87" s="12">
        <v>23147.35</v>
      </c>
      <c r="C87" s="13">
        <f t="shared" si="12"/>
        <v>3.4869680863641045E-4</v>
      </c>
      <c r="D87" s="12">
        <v>3970.15</v>
      </c>
      <c r="E87" s="13">
        <f t="shared" si="13"/>
        <v>-2.645943030685264E-2</v>
      </c>
      <c r="F87" s="12">
        <v>1828.9</v>
      </c>
      <c r="G87" s="13">
        <f t="shared" si="14"/>
        <v>-5.3546208767143416E-2</v>
      </c>
      <c r="H87" s="14">
        <v>4.57</v>
      </c>
      <c r="I87" s="14">
        <f t="shared" si="15"/>
        <v>0.24000000000000021</v>
      </c>
      <c r="J87" s="15">
        <v>301.45</v>
      </c>
      <c r="K87" s="13">
        <f t="shared" si="17"/>
        <v>5.9578207381370873E-2</v>
      </c>
      <c r="L87" s="12">
        <v>21242.9</v>
      </c>
      <c r="M87" s="13">
        <f t="shared" si="18"/>
        <v>-2.2182022389158784E-2</v>
      </c>
      <c r="N87" s="15">
        <v>0</v>
      </c>
      <c r="O87" s="13">
        <f t="shared" si="16"/>
        <v>0.2049646681583687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11">
        <v>44986</v>
      </c>
      <c r="B88" s="12">
        <v>28478.48</v>
      </c>
      <c r="C88" s="13">
        <f t="shared" si="12"/>
        <v>0.20726841119536349</v>
      </c>
      <c r="D88" s="12">
        <v>4109.3100000000004</v>
      </c>
      <c r="E88" s="13">
        <f t="shared" si="13"/>
        <v>3.4451253841860437E-2</v>
      </c>
      <c r="F88" s="12">
        <v>1969</v>
      </c>
      <c r="G88" s="13">
        <f t="shared" si="14"/>
        <v>7.3811106428595397E-2</v>
      </c>
      <c r="H88" s="14">
        <v>4.6500000000000004</v>
      </c>
      <c r="I88" s="14">
        <f t="shared" si="15"/>
        <v>8.0000000000000071E-2</v>
      </c>
      <c r="J88" s="15">
        <v>301.82100000000003</v>
      </c>
      <c r="K88" s="13">
        <f t="shared" si="17"/>
        <v>4.9177193628899607E-2</v>
      </c>
      <c r="L88" s="12">
        <v>20946.8</v>
      </c>
      <c r="M88" s="13">
        <f t="shared" si="18"/>
        <v>-3.8555455596966937E-2</v>
      </c>
      <c r="N88" s="15">
        <v>0</v>
      </c>
      <c r="O88" s="13">
        <f t="shared" si="16"/>
        <v>0.16901531413679619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11">
        <v>45017</v>
      </c>
      <c r="B89" s="12">
        <v>29268.81</v>
      </c>
      <c r="C89" s="13">
        <f t="shared" si="12"/>
        <v>2.7373729582595947E-2</v>
      </c>
      <c r="D89" s="12">
        <v>4169.4799999999996</v>
      </c>
      <c r="E89" s="13">
        <f t="shared" si="13"/>
        <v>1.4536196592679839E-2</v>
      </c>
      <c r="F89" s="12">
        <v>1990.1</v>
      </c>
      <c r="G89" s="13">
        <f t="shared" si="14"/>
        <v>1.0659089073141869E-2</v>
      </c>
      <c r="H89" s="14">
        <v>4.83</v>
      </c>
      <c r="I89" s="14">
        <f t="shared" si="15"/>
        <v>0.17999999999999972</v>
      </c>
      <c r="J89" s="15">
        <v>302.84500000000003</v>
      </c>
      <c r="K89" s="13">
        <f t="shared" si="17"/>
        <v>4.9500798791243694E-2</v>
      </c>
      <c r="L89" s="12">
        <v>20761.400000000001</v>
      </c>
      <c r="M89" s="13">
        <f t="shared" si="18"/>
        <v>-4.6307907852729646E-2</v>
      </c>
      <c r="N89" s="15">
        <v>0</v>
      </c>
      <c r="O89" s="13">
        <f t="shared" si="16"/>
        <v>0.1124783068498672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11">
        <v>45047</v>
      </c>
      <c r="B90" s="12">
        <v>27219.66</v>
      </c>
      <c r="C90" s="13">
        <f t="shared" si="12"/>
        <v>-7.2582937585850646E-2</v>
      </c>
      <c r="D90" s="12">
        <v>4179.83</v>
      </c>
      <c r="E90" s="13">
        <f t="shared" si="13"/>
        <v>2.4792480579840541E-3</v>
      </c>
      <c r="F90" s="12">
        <v>1963.9</v>
      </c>
      <c r="G90" s="13">
        <f t="shared" si="14"/>
        <v>-1.3252596591090009E-2</v>
      </c>
      <c r="H90" s="14">
        <v>5.0599999999999996</v>
      </c>
      <c r="I90" s="14">
        <f t="shared" si="15"/>
        <v>0.22999999999999954</v>
      </c>
      <c r="J90" s="15">
        <v>303.334</v>
      </c>
      <c r="K90" s="13">
        <f t="shared" si="17"/>
        <v>4.131851231385042E-2</v>
      </c>
      <c r="L90" s="12">
        <v>20829.7</v>
      </c>
      <c r="M90" s="13">
        <f t="shared" si="18"/>
        <v>-4.0967793917907835E-2</v>
      </c>
      <c r="N90" s="15">
        <v>0</v>
      </c>
      <c r="O90" s="13">
        <f t="shared" si="16"/>
        <v>0.14181573090848523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11">
        <v>45078</v>
      </c>
      <c r="B91" s="12">
        <v>30477.25</v>
      </c>
      <c r="C91" s="13">
        <f t="shared" si="12"/>
        <v>0.11304099732125178</v>
      </c>
      <c r="D91" s="12">
        <v>4450.38</v>
      </c>
      <c r="E91" s="13">
        <f t="shared" si="13"/>
        <v>6.2718909937614448E-2</v>
      </c>
      <c r="F91" s="12">
        <v>1921.1</v>
      </c>
      <c r="G91" s="13">
        <f t="shared" si="14"/>
        <v>-2.2034353486780494E-2</v>
      </c>
      <c r="H91" s="14">
        <v>5.08</v>
      </c>
      <c r="I91" s="14">
        <f t="shared" si="15"/>
        <v>2.0000000000000462E-2</v>
      </c>
      <c r="J91" s="15">
        <v>304.01400000000001</v>
      </c>
      <c r="K91" s="13">
        <f t="shared" si="17"/>
        <v>3.070617072997095E-2</v>
      </c>
      <c r="L91" s="12">
        <v>20799.3</v>
      </c>
      <c r="M91" s="13">
        <f t="shared" si="18"/>
        <v>-3.934654892107603E-2</v>
      </c>
      <c r="N91" s="15">
        <v>0</v>
      </c>
      <c r="O91" s="13">
        <f t="shared" si="16"/>
        <v>9.2903589169656908E-2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11">
        <v>45108</v>
      </c>
      <c r="B92" s="12">
        <v>29230.11</v>
      </c>
      <c r="C92" s="13">
        <f t="shared" si="12"/>
        <v>-4.1781161277982808E-2</v>
      </c>
      <c r="D92" s="12">
        <v>4588.96</v>
      </c>
      <c r="E92" s="13">
        <f t="shared" si="13"/>
        <v>3.0663933087959953E-2</v>
      </c>
      <c r="F92" s="12">
        <v>1970.5</v>
      </c>
      <c r="G92" s="13">
        <f t="shared" si="14"/>
        <v>2.5389379000661391E-2</v>
      </c>
      <c r="H92" s="14">
        <v>5.12</v>
      </c>
      <c r="I92" s="14">
        <f t="shared" si="15"/>
        <v>4.0000000000000036E-2</v>
      </c>
      <c r="J92" s="15">
        <v>304.60899999999998</v>
      </c>
      <c r="K92" s="13">
        <f t="shared" si="17"/>
        <v>3.2877492684282972E-2</v>
      </c>
      <c r="L92" s="12">
        <v>20791.2</v>
      </c>
      <c r="M92" s="13">
        <f t="shared" si="18"/>
        <v>-3.9791620483263124E-2</v>
      </c>
      <c r="N92" s="15">
        <v>0</v>
      </c>
      <c r="O92" s="13">
        <f t="shared" si="16"/>
        <v>9.9477715617990431E-2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11">
        <v>45139</v>
      </c>
      <c r="B93" s="12">
        <v>25931.47</v>
      </c>
      <c r="C93" s="13">
        <f t="shared" si="12"/>
        <v>-0.11974205333790761</v>
      </c>
      <c r="D93" s="12">
        <v>4507.66</v>
      </c>
      <c r="E93" s="13">
        <f t="shared" si="13"/>
        <v>-1.787524701848843E-2</v>
      </c>
      <c r="F93" s="12">
        <v>1938.2</v>
      </c>
      <c r="G93" s="13">
        <f t="shared" si="14"/>
        <v>-1.65276103346087E-2</v>
      </c>
      <c r="H93" s="14">
        <v>5.33</v>
      </c>
      <c r="I93" s="14">
        <f t="shared" si="15"/>
        <v>0.20999999999999996</v>
      </c>
      <c r="J93" s="15">
        <v>306.08199999999999</v>
      </c>
      <c r="K93" s="13">
        <f t="shared" si="17"/>
        <v>3.7225048035052888E-2</v>
      </c>
      <c r="L93" s="12">
        <v>20777.2</v>
      </c>
      <c r="M93" s="13">
        <f t="shared" si="18"/>
        <v>-3.9790740449760165E-2</v>
      </c>
      <c r="N93" s="15">
        <v>0</v>
      </c>
      <c r="O93" s="13">
        <f t="shared" si="16"/>
        <v>0.11848751703470044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11">
        <v>45170</v>
      </c>
      <c r="B94" s="12">
        <v>26967.919999999998</v>
      </c>
      <c r="C94" s="13">
        <f t="shared" si="12"/>
        <v>3.9190722413476153E-2</v>
      </c>
      <c r="D94" s="12">
        <v>4288.05</v>
      </c>
      <c r="E94" s="13">
        <f t="shared" si="13"/>
        <v>-4.9946087711970913E-2</v>
      </c>
      <c r="F94" s="12">
        <v>1848.1</v>
      </c>
      <c r="G94" s="13">
        <f t="shared" si="14"/>
        <v>-4.7601623008739165E-2</v>
      </c>
      <c r="H94" s="14">
        <v>5.33</v>
      </c>
      <c r="I94" s="14">
        <f t="shared" si="15"/>
        <v>0</v>
      </c>
      <c r="J94" s="15">
        <v>307.27600000000001</v>
      </c>
      <c r="K94" s="13">
        <f t="shared" si="17"/>
        <v>3.6872066381192559E-2</v>
      </c>
      <c r="L94" s="12">
        <v>20747.8</v>
      </c>
      <c r="M94" s="13">
        <f t="shared" si="18"/>
        <v>-3.662154946254037E-2</v>
      </c>
      <c r="N94" s="15">
        <v>0</v>
      </c>
      <c r="O94" s="13">
        <f t="shared" si="16"/>
        <v>7.9471141352655011E-2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11">
        <v>45200</v>
      </c>
      <c r="B95" s="12">
        <v>34667.78</v>
      </c>
      <c r="C95" s="13">
        <f t="shared" si="12"/>
        <v>0.25116271389362055</v>
      </c>
      <c r="D95" s="12">
        <v>4193.8</v>
      </c>
      <c r="E95" s="13">
        <f t="shared" si="13"/>
        <v>-2.2224839977771419E-2</v>
      </c>
      <c r="F95" s="12">
        <v>1985.2</v>
      </c>
      <c r="G95" s="13">
        <f t="shared" si="14"/>
        <v>7.1561580421575316E-2</v>
      </c>
      <c r="H95" s="14">
        <v>5.33</v>
      </c>
      <c r="I95" s="14">
        <f t="shared" si="15"/>
        <v>0</v>
      </c>
      <c r="J95" s="15">
        <v>307.69600000000003</v>
      </c>
      <c r="K95" s="13">
        <f t="shared" si="17"/>
        <v>3.2512659098611785E-2</v>
      </c>
      <c r="L95" s="12">
        <v>20732.900000000001</v>
      </c>
      <c r="M95" s="13">
        <f t="shared" si="18"/>
        <v>-3.3949164783449337E-2</v>
      </c>
      <c r="N95" s="15">
        <v>0</v>
      </c>
      <c r="O95" s="13">
        <f t="shared" si="16"/>
        <v>0.18608335889020819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11">
        <v>45231</v>
      </c>
      <c r="B96" s="12">
        <v>37712.75</v>
      </c>
      <c r="C96" s="13">
        <f t="shared" si="12"/>
        <v>8.4187508222773322E-2</v>
      </c>
      <c r="D96" s="12">
        <v>4567.8</v>
      </c>
      <c r="E96" s="13">
        <f t="shared" si="13"/>
        <v>8.5424444387576737E-2</v>
      </c>
      <c r="F96" s="12">
        <v>2038.1</v>
      </c>
      <c r="G96" s="13">
        <f t="shared" si="14"/>
        <v>2.6298336579048048E-2</v>
      </c>
      <c r="H96" s="14">
        <v>5.33</v>
      </c>
      <c r="I96" s="14">
        <f t="shared" si="15"/>
        <v>0</v>
      </c>
      <c r="J96" s="15">
        <v>308.14800000000002</v>
      </c>
      <c r="K96" s="13">
        <f t="shared" si="17"/>
        <v>3.1333462745911866E-2</v>
      </c>
      <c r="L96" s="12">
        <v>20746.5</v>
      </c>
      <c r="M96" s="13">
        <f t="shared" si="18"/>
        <v>-3.083175670941074E-2</v>
      </c>
      <c r="N96" s="15">
        <v>0</v>
      </c>
      <c r="O96" s="13">
        <f t="shared" si="16"/>
        <v>0.11168225404695226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11">
        <v>45261</v>
      </c>
      <c r="B97" s="12">
        <v>42265.19</v>
      </c>
      <c r="C97" s="13">
        <f t="shared" si="12"/>
        <v>0.11396558225122683</v>
      </c>
      <c r="D97" s="12">
        <v>4769.83</v>
      </c>
      <c r="E97" s="13">
        <f t="shared" si="13"/>
        <v>4.3278976294068072E-2</v>
      </c>
      <c r="F97" s="12">
        <v>2062.4</v>
      </c>
      <c r="G97" s="13">
        <f t="shared" si="14"/>
        <v>1.1852351892589288E-2</v>
      </c>
      <c r="H97" s="14">
        <v>5.33</v>
      </c>
      <c r="I97" s="14">
        <f t="shared" si="15"/>
        <v>0</v>
      </c>
      <c r="J97" s="15">
        <v>308.74099999999999</v>
      </c>
      <c r="K97" s="13">
        <f t="shared" si="17"/>
        <v>3.3159099427102934E-2</v>
      </c>
      <c r="L97" s="12">
        <v>20777.900000000001</v>
      </c>
      <c r="M97" s="13">
        <f t="shared" si="18"/>
        <v>-2.4099384716546823E-2</v>
      </c>
      <c r="N97" s="15">
        <v>0</v>
      </c>
      <c r="O97" s="13">
        <f t="shared" si="16"/>
        <v>8.9060378332685181E-2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11">
        <v>45292</v>
      </c>
      <c r="B98" s="12">
        <v>42582.61</v>
      </c>
      <c r="C98" s="13">
        <f t="shared" si="12"/>
        <v>7.4821381538748124E-3</v>
      </c>
      <c r="D98" s="12">
        <v>4845.6499999999996</v>
      </c>
      <c r="E98" s="13">
        <f t="shared" si="13"/>
        <v>1.5770730418801029E-2</v>
      </c>
      <c r="F98" s="12">
        <v>2048.4</v>
      </c>
      <c r="G98" s="13">
        <f t="shared" si="14"/>
        <v>-6.8113525965277305E-3</v>
      </c>
      <c r="H98" s="14">
        <v>5.33</v>
      </c>
      <c r="I98" s="14">
        <f t="shared" si="15"/>
        <v>0</v>
      </c>
      <c r="J98" s="15">
        <v>309.69799999999998</v>
      </c>
      <c r="K98" s="13">
        <f t="shared" si="17"/>
        <v>3.0883429864855705E-2</v>
      </c>
      <c r="L98" s="12">
        <v>20843.900000000001</v>
      </c>
      <c r="M98" s="13">
        <f t="shared" si="18"/>
        <v>-2.0465802607216421E-2</v>
      </c>
      <c r="N98" s="15">
        <v>0</v>
      </c>
      <c r="O98" s="13">
        <f t="shared" si="16"/>
        <v>5.4938103591048434E-2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11">
        <v>45323</v>
      </c>
      <c r="B99" s="12">
        <v>61198.38</v>
      </c>
      <c r="C99" s="13">
        <f t="shared" ref="C99:C123" si="19">LN(B99/B98)</f>
        <v>0.3626747646096275</v>
      </c>
      <c r="D99" s="12">
        <v>5096.2700000000004</v>
      </c>
      <c r="E99" s="13">
        <f t="shared" ref="E99:E123" si="20">LN(D99/D98)</f>
        <v>5.0427504326927088E-2</v>
      </c>
      <c r="F99" s="12">
        <v>2045.7</v>
      </c>
      <c r="G99" s="13">
        <f t="shared" ref="G99:G123" si="21">LN(F99/F98)</f>
        <v>-1.3189713936784084E-3</v>
      </c>
      <c r="H99" s="14">
        <v>5.33</v>
      </c>
      <c r="I99" s="14">
        <f t="shared" ref="I99:I123" si="22">H99-H98</f>
        <v>0</v>
      </c>
      <c r="J99" s="15">
        <v>310.96699999999998</v>
      </c>
      <c r="K99" s="13">
        <f t="shared" si="17"/>
        <v>3.1570741416486969E-2</v>
      </c>
      <c r="L99" s="12">
        <v>20927.400000000001</v>
      </c>
      <c r="M99" s="13">
        <f t="shared" si="18"/>
        <v>-1.4852021145888794E-2</v>
      </c>
      <c r="N99" s="15">
        <v>0</v>
      </c>
      <c r="O99" s="13">
        <f t="shared" si="16"/>
        <v>0.18228036242043641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11">
        <v>45352</v>
      </c>
      <c r="B100" s="12">
        <v>71333.649999999994</v>
      </c>
      <c r="C100" s="13">
        <f t="shared" si="19"/>
        <v>0.15324744701653187</v>
      </c>
      <c r="D100" s="12">
        <v>5254.35</v>
      </c>
      <c r="E100" s="13">
        <f t="shared" si="20"/>
        <v>3.0547405358412088E-2</v>
      </c>
      <c r="F100" s="12">
        <v>2217.4</v>
      </c>
      <c r="G100" s="13">
        <f t="shared" si="21"/>
        <v>8.0595309143534383E-2</v>
      </c>
      <c r="H100" s="14">
        <v>5.33</v>
      </c>
      <c r="I100" s="14">
        <f t="shared" si="22"/>
        <v>0</v>
      </c>
      <c r="J100" s="15">
        <v>312.34500000000003</v>
      </c>
      <c r="K100" s="13">
        <f t="shared" si="17"/>
        <v>3.4868349120836584E-2</v>
      </c>
      <c r="L100" s="12">
        <v>20973.9</v>
      </c>
      <c r="M100" s="13">
        <f t="shared" si="18"/>
        <v>1.2937536998491872E-3</v>
      </c>
      <c r="N100" s="15">
        <v>0</v>
      </c>
      <c r="O100" s="13">
        <f t="shared" si="16"/>
        <v>0.17854463891447472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11">
        <v>45383</v>
      </c>
      <c r="B101" s="12">
        <v>60636.86</v>
      </c>
      <c r="C101" s="13">
        <f t="shared" si="19"/>
        <v>-0.16246520660542937</v>
      </c>
      <c r="D101" s="12">
        <v>5035.6899999999996</v>
      </c>
      <c r="E101" s="13">
        <f t="shared" si="20"/>
        <v>-4.250574745999363E-2</v>
      </c>
      <c r="F101" s="12">
        <v>2291.4</v>
      </c>
      <c r="G101" s="13">
        <f t="shared" si="21"/>
        <v>3.282764612127425E-2</v>
      </c>
      <c r="H101" s="14">
        <v>5.33</v>
      </c>
      <c r="I101" s="14">
        <f t="shared" si="22"/>
        <v>0</v>
      </c>
      <c r="J101" s="15">
        <v>313.02300000000002</v>
      </c>
      <c r="K101" s="13">
        <f t="shared" si="17"/>
        <v>3.3607951262196734E-2</v>
      </c>
      <c r="L101" s="12">
        <v>20959.7</v>
      </c>
      <c r="M101" s="13">
        <f t="shared" si="18"/>
        <v>9.551379001416116E-3</v>
      </c>
      <c r="N101" s="15">
        <v>1</v>
      </c>
      <c r="O101" s="13">
        <f t="shared" si="16"/>
        <v>0.2643565365117756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11">
        <v>45413</v>
      </c>
      <c r="B102" s="12">
        <v>67489.61</v>
      </c>
      <c r="C102" s="13">
        <f t="shared" si="19"/>
        <v>0.10707070111395187</v>
      </c>
      <c r="D102" s="12">
        <v>5277.51</v>
      </c>
      <c r="E102" s="13">
        <f t="shared" si="20"/>
        <v>4.6903838078814306E-2</v>
      </c>
      <c r="F102" s="12">
        <v>2322.9</v>
      </c>
      <c r="G102" s="13">
        <f t="shared" si="21"/>
        <v>1.3653420601261932E-2</v>
      </c>
      <c r="H102" s="14">
        <v>5.33</v>
      </c>
      <c r="I102" s="14">
        <f t="shared" si="22"/>
        <v>0</v>
      </c>
      <c r="J102" s="15">
        <v>313.17500000000001</v>
      </c>
      <c r="K102" s="13">
        <f t="shared" si="17"/>
        <v>3.244278584003113E-2</v>
      </c>
      <c r="L102" s="12">
        <v>21020.7</v>
      </c>
      <c r="M102" s="13">
        <f t="shared" si="18"/>
        <v>9.1695991780966768E-3</v>
      </c>
      <c r="N102" s="15">
        <v>1</v>
      </c>
      <c r="O102" s="13">
        <f t="shared" si="16"/>
        <v>0.17051704561386363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11">
        <v>45444</v>
      </c>
      <c r="B103" s="12">
        <v>62678.29</v>
      </c>
      <c r="C103" s="13">
        <f t="shared" si="19"/>
        <v>-7.3958524418554994E-2</v>
      </c>
      <c r="D103" s="12">
        <v>5460.48</v>
      </c>
      <c r="E103" s="13">
        <f t="shared" si="20"/>
        <v>3.408230240557078E-2</v>
      </c>
      <c r="F103" s="12">
        <v>2327.6999999999998</v>
      </c>
      <c r="G103" s="13">
        <f t="shared" si="21"/>
        <v>2.0642505072255997E-3</v>
      </c>
      <c r="H103" s="14">
        <v>5.33</v>
      </c>
      <c r="I103" s="14">
        <f t="shared" si="22"/>
        <v>0</v>
      </c>
      <c r="J103" s="15">
        <v>313.04399999999998</v>
      </c>
      <c r="K103" s="13">
        <f t="shared" si="17"/>
        <v>2.9702579486470926E-2</v>
      </c>
      <c r="L103" s="12">
        <v>21068.400000000001</v>
      </c>
      <c r="M103" s="13">
        <f t="shared" si="18"/>
        <v>1.293793541128796E-2</v>
      </c>
      <c r="N103" s="15">
        <v>1</v>
      </c>
      <c r="O103" s="13">
        <f t="shared" si="16"/>
        <v>0.13738911822432082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11">
        <v>45474</v>
      </c>
      <c r="B104" s="12">
        <v>64619.25</v>
      </c>
      <c r="C104" s="13">
        <f t="shared" si="19"/>
        <v>3.049721832897169E-2</v>
      </c>
      <c r="D104" s="12">
        <v>5522.3</v>
      </c>
      <c r="E104" s="13">
        <f t="shared" si="20"/>
        <v>1.1257742193535576E-2</v>
      </c>
      <c r="F104" s="12">
        <v>2426.5</v>
      </c>
      <c r="G104" s="13">
        <f t="shared" si="21"/>
        <v>4.156923427725763E-2</v>
      </c>
      <c r="H104" s="14">
        <v>5.33</v>
      </c>
      <c r="I104" s="14">
        <f>H104-H103</f>
        <v>0</v>
      </c>
      <c r="J104" s="15">
        <v>313.56900000000002</v>
      </c>
      <c r="K104" s="13">
        <f t="shared" si="17"/>
        <v>2.9414757935583014E-2</v>
      </c>
      <c r="L104" s="12">
        <v>21095.3</v>
      </c>
      <c r="M104" s="13">
        <f t="shared" si="18"/>
        <v>1.4626380391704163E-2</v>
      </c>
      <c r="N104" s="15">
        <v>0</v>
      </c>
      <c r="O104" s="13">
        <f t="shared" si="16"/>
        <v>9.0871778673449519E-2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11">
        <v>45505</v>
      </c>
      <c r="B105" s="12">
        <v>58969.9</v>
      </c>
      <c r="C105" s="13">
        <f t="shared" si="19"/>
        <v>-9.14852097817027E-2</v>
      </c>
      <c r="D105" s="12">
        <v>5648.4</v>
      </c>
      <c r="E105" s="13">
        <f t="shared" si="20"/>
        <v>2.2577879038739614E-2</v>
      </c>
      <c r="F105" s="12">
        <v>2493.8000000000002</v>
      </c>
      <c r="G105" s="13">
        <f t="shared" si="21"/>
        <v>2.7357761717214938E-2</v>
      </c>
      <c r="H105" s="14">
        <v>5.33</v>
      </c>
      <c r="I105" s="14">
        <f t="shared" si="22"/>
        <v>0</v>
      </c>
      <c r="J105" s="15">
        <v>314.06200000000001</v>
      </c>
      <c r="K105" s="13">
        <f t="shared" si="17"/>
        <v>2.6071444906920371E-2</v>
      </c>
      <c r="L105" s="12">
        <v>21186.799999999999</v>
      </c>
      <c r="M105" s="13">
        <f t="shared" si="18"/>
        <v>1.9713917178445506E-2</v>
      </c>
      <c r="N105" s="15">
        <v>0</v>
      </c>
      <c r="O105" s="13">
        <f t="shared" si="16"/>
        <v>6.5951875965904225E-2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11">
        <v>45536</v>
      </c>
      <c r="B106" s="12">
        <v>63329.5</v>
      </c>
      <c r="C106" s="13">
        <f t="shared" si="19"/>
        <v>7.1324111111334562E-2</v>
      </c>
      <c r="D106" s="12">
        <v>5762.48</v>
      </c>
      <c r="E106" s="13">
        <f t="shared" si="20"/>
        <v>1.9995618387948909E-2</v>
      </c>
      <c r="F106" s="12">
        <v>2636.1</v>
      </c>
      <c r="G106" s="13">
        <f t="shared" si="21"/>
        <v>5.5492900607421278E-2</v>
      </c>
      <c r="H106" s="14">
        <v>5.13</v>
      </c>
      <c r="I106" s="14">
        <f t="shared" si="22"/>
        <v>-0.20000000000000018</v>
      </c>
      <c r="J106" s="15">
        <v>314.73200000000003</v>
      </c>
      <c r="K106" s="13">
        <f t="shared" si="17"/>
        <v>2.4264830315416708E-2</v>
      </c>
      <c r="L106" s="12">
        <v>21269.5</v>
      </c>
      <c r="M106" s="13">
        <f t="shared" si="18"/>
        <v>2.5144834633069602E-2</v>
      </c>
      <c r="N106" s="15">
        <v>0</v>
      </c>
      <c r="O106" s="13">
        <f t="shared" si="16"/>
        <v>8.470873913169602E-2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11">
        <v>45566</v>
      </c>
      <c r="B107" s="12">
        <v>70215.19</v>
      </c>
      <c r="C107" s="13">
        <f t="shared" si="19"/>
        <v>0.1032134140461937</v>
      </c>
      <c r="D107" s="12">
        <v>5705.45</v>
      </c>
      <c r="E107" s="13">
        <f t="shared" si="20"/>
        <v>-9.9460792205519691E-3</v>
      </c>
      <c r="F107" s="12">
        <v>2738.3</v>
      </c>
      <c r="G107" s="13">
        <f t="shared" si="21"/>
        <v>3.8036737704727402E-2</v>
      </c>
      <c r="H107" s="14">
        <v>4.83</v>
      </c>
      <c r="I107" s="14">
        <f t="shared" si="22"/>
        <v>-0.29999999999999982</v>
      </c>
      <c r="J107" s="15">
        <v>315.63099999999997</v>
      </c>
      <c r="K107" s="13">
        <f t="shared" si="17"/>
        <v>2.5788440538713431E-2</v>
      </c>
      <c r="L107" s="12">
        <v>21331.9</v>
      </c>
      <c r="M107" s="13">
        <f t="shared" si="18"/>
        <v>2.8891279078180121E-2</v>
      </c>
      <c r="N107" s="15">
        <v>0</v>
      </c>
      <c r="O107" s="13">
        <f t="shared" si="16"/>
        <v>0.10442809067471573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11">
        <v>45597</v>
      </c>
      <c r="B108" s="12">
        <v>96449.06</v>
      </c>
      <c r="C108" s="13">
        <f t="shared" si="19"/>
        <v>0.31745032393088196</v>
      </c>
      <c r="D108" s="12">
        <v>6032.38</v>
      </c>
      <c r="E108" s="13">
        <f t="shared" si="20"/>
        <v>5.5719767688528744E-2</v>
      </c>
      <c r="F108" s="12">
        <v>2657</v>
      </c>
      <c r="G108" s="13">
        <f t="shared" si="21"/>
        <v>-3.0139623114821108E-2</v>
      </c>
      <c r="H108" s="14">
        <v>4.6399999999999997</v>
      </c>
      <c r="I108" s="14">
        <f t="shared" si="22"/>
        <v>-0.19000000000000039</v>
      </c>
      <c r="J108" s="15">
        <v>316.52800000000002</v>
      </c>
      <c r="K108" s="13">
        <f t="shared" si="17"/>
        <v>2.7194724612848331E-2</v>
      </c>
      <c r="L108" s="12">
        <v>21452.2</v>
      </c>
      <c r="M108" s="13">
        <f t="shared" si="18"/>
        <v>3.40153760875328E-2</v>
      </c>
      <c r="N108" s="15">
        <v>0</v>
      </c>
      <c r="O108" s="13">
        <f t="shared" si="16"/>
        <v>0.13384848015293541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11">
        <v>45627</v>
      </c>
      <c r="B109" s="12">
        <v>93429.2</v>
      </c>
      <c r="C109" s="13">
        <f t="shared" si="19"/>
        <v>-3.1811063113871586E-2</v>
      </c>
      <c r="D109" s="12">
        <v>5881.63</v>
      </c>
      <c r="E109" s="13">
        <f t="shared" si="20"/>
        <v>-2.5307691689834075E-2</v>
      </c>
      <c r="F109" s="12">
        <v>2629.2</v>
      </c>
      <c r="G109" s="13">
        <f t="shared" si="21"/>
        <v>-1.0518049370392453E-2</v>
      </c>
      <c r="H109" s="14">
        <v>4.4800000000000004</v>
      </c>
      <c r="I109" s="14">
        <f t="shared" si="22"/>
        <v>-0.15999999999999925</v>
      </c>
      <c r="J109" s="15">
        <v>317.60399999999998</v>
      </c>
      <c r="K109" s="13">
        <f t="shared" si="17"/>
        <v>2.8706909675099812E-2</v>
      </c>
      <c r="L109" s="12">
        <v>21485.9</v>
      </c>
      <c r="M109" s="13">
        <f t="shared" si="18"/>
        <v>3.4074665870949428E-2</v>
      </c>
      <c r="N109" s="15">
        <v>0</v>
      </c>
      <c r="O109" s="13">
        <f t="shared" si="16"/>
        <v>0.17612144459137383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11">
        <v>45658</v>
      </c>
      <c r="B110" s="12">
        <v>102405.03</v>
      </c>
      <c r="C110" s="13">
        <f t="shared" si="19"/>
        <v>9.1731902284756181E-2</v>
      </c>
      <c r="D110" s="12">
        <v>6040.53</v>
      </c>
      <c r="E110" s="13">
        <f t="shared" si="20"/>
        <v>2.6657822062382253E-2</v>
      </c>
      <c r="F110" s="12">
        <v>2812.5</v>
      </c>
      <c r="G110" s="13">
        <f t="shared" si="21"/>
        <v>6.7394150123254476E-2</v>
      </c>
      <c r="H110" s="14">
        <v>4.33</v>
      </c>
      <c r="I110" s="14">
        <f t="shared" si="22"/>
        <v>-0.15000000000000036</v>
      </c>
      <c r="J110" s="15">
        <v>318.96100000000001</v>
      </c>
      <c r="K110" s="13">
        <f t="shared" si="17"/>
        <v>2.9909783078999608E-2</v>
      </c>
      <c r="L110" s="12">
        <v>21548.1</v>
      </c>
      <c r="M110" s="13">
        <f t="shared" ref="M110:M123" si="23">L110/L98-1</f>
        <v>3.3784464519595492E-2</v>
      </c>
      <c r="N110" s="15">
        <v>0</v>
      </c>
      <c r="O110" s="13">
        <f t="shared" si="16"/>
        <v>0.1771041062249028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11">
        <v>45689</v>
      </c>
      <c r="B111" s="12">
        <v>84373.01</v>
      </c>
      <c r="C111" s="13">
        <f t="shared" si="19"/>
        <v>-0.19368826876338213</v>
      </c>
      <c r="D111" s="12">
        <v>5954.5</v>
      </c>
      <c r="E111" s="13">
        <f t="shared" si="20"/>
        <v>-1.4344520215520212E-2</v>
      </c>
      <c r="F111" s="12">
        <v>2836.8</v>
      </c>
      <c r="G111" s="13">
        <f t="shared" si="21"/>
        <v>8.6028888072678528E-3</v>
      </c>
      <c r="H111" s="14">
        <v>4.33</v>
      </c>
      <c r="I111" s="14">
        <f t="shared" si="22"/>
        <v>0</v>
      </c>
      <c r="J111" s="15">
        <v>319.67899999999997</v>
      </c>
      <c r="K111" s="13">
        <f t="shared" si="17"/>
        <v>2.8015834477613355E-2</v>
      </c>
      <c r="L111" s="12">
        <v>21613.5</v>
      </c>
      <c r="M111" s="13">
        <f t="shared" si="23"/>
        <v>3.2784770205567693E-2</v>
      </c>
      <c r="N111" s="15">
        <v>0</v>
      </c>
      <c r="O111" s="13">
        <f t="shared" si="16"/>
        <v>0.14313849240597315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11">
        <v>45717</v>
      </c>
      <c r="B112" s="12">
        <v>82548.91</v>
      </c>
      <c r="C112" s="13">
        <f t="shared" si="19"/>
        <v>-2.1856597569127754E-2</v>
      </c>
      <c r="D112" s="12">
        <v>5611.85</v>
      </c>
      <c r="E112" s="13">
        <f t="shared" si="20"/>
        <v>-5.9266802781969163E-2</v>
      </c>
      <c r="F112" s="12">
        <v>3122.8</v>
      </c>
      <c r="G112" s="13">
        <f t="shared" si="21"/>
        <v>9.605337892619234E-2</v>
      </c>
      <c r="H112" s="14">
        <v>4.33</v>
      </c>
      <c r="I112" s="14">
        <f t="shared" si="22"/>
        <v>0</v>
      </c>
      <c r="J112" s="15">
        <v>319.78500000000003</v>
      </c>
      <c r="K112" s="13">
        <f t="shared" si="17"/>
        <v>2.3819814628055491E-2</v>
      </c>
      <c r="L112" s="12">
        <v>21693.7</v>
      </c>
      <c r="M112" s="13">
        <f t="shared" si="23"/>
        <v>3.431884389646167E-2</v>
      </c>
      <c r="N112" s="15">
        <v>0</v>
      </c>
      <c r="O112" s="13">
        <f t="shared" si="16"/>
        <v>0.14369710305918643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11">
        <v>45748</v>
      </c>
      <c r="B113" s="12">
        <v>94207.31</v>
      </c>
      <c r="C113" s="13">
        <f t="shared" si="19"/>
        <v>0.13210681326053814</v>
      </c>
      <c r="D113" s="12">
        <v>5569.06</v>
      </c>
      <c r="E113" s="13">
        <f t="shared" si="20"/>
        <v>-7.6541549673546042E-3</v>
      </c>
      <c r="F113" s="12">
        <v>3305</v>
      </c>
      <c r="G113" s="13">
        <f t="shared" si="21"/>
        <v>5.670643803965067E-2</v>
      </c>
      <c r="H113" s="14">
        <v>4.33</v>
      </c>
      <c r="I113" s="14">
        <f t="shared" si="22"/>
        <v>0</v>
      </c>
      <c r="J113" s="15">
        <v>320.30200000000002</v>
      </c>
      <c r="K113" s="13">
        <f t="shared" si="17"/>
        <v>2.3253882302578299E-2</v>
      </c>
      <c r="L113" s="12">
        <v>21775.7</v>
      </c>
      <c r="M113" s="13">
        <f t="shared" si="23"/>
        <v>3.8931854940671862E-2</v>
      </c>
      <c r="N113" s="15">
        <v>0</v>
      </c>
      <c r="O113" s="13">
        <f t="shared" si="16"/>
        <v>0.16297918607943357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11">
        <v>45778</v>
      </c>
      <c r="B114" s="12">
        <v>104638.09</v>
      </c>
      <c r="C114" s="13">
        <f t="shared" si="19"/>
        <v>0.10500985506341129</v>
      </c>
      <c r="D114" s="12">
        <v>5911.69</v>
      </c>
      <c r="E114" s="13">
        <f t="shared" si="20"/>
        <v>5.9705468070558924E-2</v>
      </c>
      <c r="F114" s="12">
        <v>3288.9</v>
      </c>
      <c r="G114" s="13">
        <f t="shared" si="21"/>
        <v>-4.8833109371826128E-3</v>
      </c>
      <c r="H114" s="14">
        <v>4.33</v>
      </c>
      <c r="I114" s="14">
        <f t="shared" si="22"/>
        <v>0</v>
      </c>
      <c r="J114" s="15">
        <v>320.62</v>
      </c>
      <c r="K114" s="13">
        <f t="shared" si="17"/>
        <v>2.3772651073680873E-2</v>
      </c>
      <c r="L114" s="12">
        <v>21834</v>
      </c>
      <c r="M114" s="13">
        <f t="shared" si="23"/>
        <v>3.8690433715337758E-2</v>
      </c>
      <c r="N114" s="15">
        <v>0</v>
      </c>
      <c r="O114" s="13">
        <f t="shared" si="16"/>
        <v>8.2192937471745497E-2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11">
        <v>45809</v>
      </c>
      <c r="B115" s="12">
        <v>107135.34</v>
      </c>
      <c r="C115" s="13">
        <f t="shared" si="19"/>
        <v>2.358526052951939E-2</v>
      </c>
      <c r="D115" s="12">
        <v>6204.95</v>
      </c>
      <c r="E115" s="13">
        <f t="shared" si="20"/>
        <v>4.8415614059228305E-2</v>
      </c>
      <c r="F115" s="12">
        <v>3294.4</v>
      </c>
      <c r="G115" s="13">
        <f t="shared" si="21"/>
        <v>1.6708949249208697E-3</v>
      </c>
      <c r="H115" s="14">
        <v>4.33</v>
      </c>
      <c r="I115" s="14">
        <f t="shared" si="22"/>
        <v>0</v>
      </c>
      <c r="J115" s="15">
        <v>321.435</v>
      </c>
      <c r="K115" s="13">
        <f t="shared" si="17"/>
        <v>2.6804538659102262E-2</v>
      </c>
      <c r="L115" s="12">
        <v>21938.799999999999</v>
      </c>
      <c r="M115" s="13">
        <f t="shared" si="23"/>
        <v>4.1313056520665858E-2</v>
      </c>
      <c r="N115" s="15">
        <v>0</v>
      </c>
      <c r="O115" s="13">
        <f t="shared" si="16"/>
        <v>5.6481762758281567E-2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11">
        <v>45839</v>
      </c>
      <c r="B116" s="12">
        <v>115758.2</v>
      </c>
      <c r="C116" s="13">
        <f t="shared" si="19"/>
        <v>7.7410637776042332E-2</v>
      </c>
      <c r="D116" s="12">
        <v>6339.39</v>
      </c>
      <c r="E116" s="13">
        <f t="shared" si="20"/>
        <v>2.1435188702803743E-2</v>
      </c>
      <c r="F116" s="12">
        <v>3293.2</v>
      </c>
      <c r="G116" s="13">
        <f t="shared" si="21"/>
        <v>-3.6432084925409653E-4</v>
      </c>
      <c r="H116" s="14">
        <v>4.33</v>
      </c>
      <c r="I116" s="14">
        <f t="shared" si="22"/>
        <v>0</v>
      </c>
      <c r="J116" s="15">
        <v>322.16899999999998</v>
      </c>
      <c r="K116" s="13">
        <f t="shared" si="17"/>
        <v>2.7426180521671339E-2</v>
      </c>
      <c r="L116" s="12">
        <v>22020</v>
      </c>
      <c r="M116" s="13">
        <f t="shared" si="23"/>
        <v>4.3834408612344999E-2</v>
      </c>
      <c r="N116" s="15">
        <v>0</v>
      </c>
      <c r="O116" s="13">
        <f t="shared" si="16"/>
        <v>4.1410249587943412E-2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11">
        <v>45870</v>
      </c>
      <c r="B117" s="12">
        <v>108236.71</v>
      </c>
      <c r="C117" s="13">
        <f t="shared" si="19"/>
        <v>-6.7182944806765205E-2</v>
      </c>
      <c r="D117" s="12">
        <v>6460.26</v>
      </c>
      <c r="E117" s="13">
        <f t="shared" si="20"/>
        <v>1.8887015353432401E-2</v>
      </c>
      <c r="F117" s="12">
        <v>3473.7</v>
      </c>
      <c r="G117" s="13">
        <f t="shared" si="21"/>
        <v>5.3360571862065991E-2</v>
      </c>
      <c r="H117" s="14">
        <v>4.33</v>
      </c>
      <c r="I117" s="14">
        <f t="shared" si="22"/>
        <v>0</v>
      </c>
      <c r="J117" s="15">
        <v>323.291</v>
      </c>
      <c r="K117" s="13">
        <f t="shared" si="17"/>
        <v>2.9385917430316155E-2</v>
      </c>
      <c r="L117" s="12">
        <v>22086.9</v>
      </c>
      <c r="M117" s="13">
        <f t="shared" si="23"/>
        <v>4.2483999471369049E-2</v>
      </c>
      <c r="N117" s="15">
        <v>0</v>
      </c>
      <c r="O117" s="13">
        <f t="shared" si="16"/>
        <v>7.3079115187846946E-2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11">
        <v>45901</v>
      </c>
      <c r="B118" s="12">
        <v>114056.08</v>
      </c>
      <c r="C118" s="13">
        <f t="shared" si="19"/>
        <v>5.2369669278255648E-2</v>
      </c>
      <c r="D118" s="12">
        <v>6688.46</v>
      </c>
      <c r="E118" s="13">
        <f t="shared" si="20"/>
        <v>3.4714088658864529E-2</v>
      </c>
      <c r="F118" s="12">
        <v>3840.8</v>
      </c>
      <c r="G118" s="13">
        <f t="shared" si="21"/>
        <v>0.1004603699303937</v>
      </c>
      <c r="H118" s="14">
        <v>4.22</v>
      </c>
      <c r="I118" s="14">
        <f t="shared" si="22"/>
        <v>-0.11000000000000032</v>
      </c>
      <c r="J118" s="15">
        <v>324.245</v>
      </c>
      <c r="K118" s="13">
        <f t="shared" si="17"/>
        <v>3.0225715847133294E-2</v>
      </c>
      <c r="L118" s="12">
        <v>22170.3</v>
      </c>
      <c r="M118" s="13">
        <f t="shared" si="23"/>
        <v>4.2351724300053961E-2</v>
      </c>
      <c r="N118" s="15">
        <v>0</v>
      </c>
      <c r="O118" s="13">
        <f t="shared" si="16"/>
        <v>7.7273520434450085E-2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11">
        <v>45931</v>
      </c>
      <c r="B119" s="12">
        <v>109556.16</v>
      </c>
      <c r="C119" s="13">
        <f t="shared" si="19"/>
        <v>-4.0252962768672115E-2</v>
      </c>
      <c r="D119" s="12">
        <v>6840.2</v>
      </c>
      <c r="E119" s="13">
        <f t="shared" si="20"/>
        <v>2.2433317651589665E-2</v>
      </c>
      <c r="F119" s="12">
        <v>3982.2</v>
      </c>
      <c r="G119" s="13">
        <f t="shared" si="21"/>
        <v>3.6153752163203552E-2</v>
      </c>
      <c r="H119" s="14">
        <v>4.09</v>
      </c>
      <c r="I119" s="14">
        <f t="shared" si="22"/>
        <v>-0.12999999999999989</v>
      </c>
      <c r="J119" s="15">
        <v>324.654</v>
      </c>
      <c r="K119" s="13">
        <f t="shared" si="17"/>
        <v>2.8587179332828505E-2</v>
      </c>
      <c r="L119" s="12">
        <v>22245.1</v>
      </c>
      <c r="M119" s="13">
        <f t="shared" si="23"/>
        <v>4.2809126238168904E-2</v>
      </c>
      <c r="N119" s="15">
        <v>0</v>
      </c>
      <c r="O119" s="13">
        <f t="shared" si="16"/>
        <v>6.2712310639451693E-2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11">
        <v>45962</v>
      </c>
      <c r="B120" s="12">
        <v>90394.31</v>
      </c>
      <c r="C120" s="13">
        <f t="shared" si="19"/>
        <v>-0.19225597155328161</v>
      </c>
      <c r="D120" s="12">
        <v>6849.09</v>
      </c>
      <c r="E120" s="13">
        <f t="shared" si="20"/>
        <v>1.2988257608315961E-3</v>
      </c>
      <c r="F120" s="12">
        <v>4218.3</v>
      </c>
      <c r="G120" s="13">
        <f t="shared" si="21"/>
        <v>5.7597772884945615E-2</v>
      </c>
      <c r="H120" s="14">
        <v>3.88</v>
      </c>
      <c r="I120" s="14">
        <f t="shared" si="22"/>
        <v>-0.20999999999999996</v>
      </c>
      <c r="J120" s="15">
        <v>325.06299999999999</v>
      </c>
      <c r="K120" s="13">
        <f t="shared" si="17"/>
        <v>2.6964439164939513E-2</v>
      </c>
      <c r="L120" s="12">
        <v>22277.4</v>
      </c>
      <c r="M120" s="13">
        <f t="shared" si="23"/>
        <v>3.8466917146027013E-2</v>
      </c>
      <c r="N120" s="15">
        <v>0</v>
      </c>
      <c r="O120" s="13">
        <f t="shared" si="16"/>
        <v>0.12350814467010864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11">
        <v>45992</v>
      </c>
      <c r="B121" s="12">
        <v>87508.83</v>
      </c>
      <c r="C121" s="13">
        <f t="shared" si="19"/>
        <v>-3.2441620381514685E-2</v>
      </c>
      <c r="D121" s="12">
        <v>6845.5</v>
      </c>
      <c r="E121" s="13">
        <f t="shared" si="20"/>
        <v>-5.2429464222535766E-4</v>
      </c>
      <c r="F121" s="12">
        <v>4325.6000000000004</v>
      </c>
      <c r="G121" s="13">
        <f t="shared" si="21"/>
        <v>2.5118655802915283E-2</v>
      </c>
      <c r="H121" s="14">
        <v>3.72</v>
      </c>
      <c r="I121" s="14">
        <f t="shared" si="22"/>
        <v>-0.1599999999999997</v>
      </c>
      <c r="J121" s="15">
        <v>326.03100000000001</v>
      </c>
      <c r="K121" s="13">
        <f t="shared" si="17"/>
        <v>2.6533041145577529E-2</v>
      </c>
      <c r="L121" s="12">
        <v>22353.5</v>
      </c>
      <c r="M121" s="13">
        <f t="shared" si="23"/>
        <v>4.037997011993899E-2</v>
      </c>
      <c r="N121" s="15">
        <v>0</v>
      </c>
      <c r="O121" s="13">
        <f t="shared" si="16"/>
        <v>9.0098611337722928E-2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11">
        <v>46023</v>
      </c>
      <c r="B122" s="12">
        <v>78621.119999999995</v>
      </c>
      <c r="C122" s="13">
        <f t="shared" si="19"/>
        <v>-0.10709933692653673</v>
      </c>
      <c r="D122" s="12">
        <v>6939.03</v>
      </c>
      <c r="E122" s="13">
        <f t="shared" si="20"/>
        <v>1.3570493205929611E-2</v>
      </c>
      <c r="F122" s="12">
        <v>4713.8999999999996</v>
      </c>
      <c r="G122" s="13">
        <f t="shared" si="21"/>
        <v>8.5964731796400448E-2</v>
      </c>
      <c r="H122" s="14">
        <v>3.64</v>
      </c>
      <c r="I122" s="14">
        <f t="shared" si="22"/>
        <v>-8.0000000000000071E-2</v>
      </c>
      <c r="J122" s="15">
        <v>326.58800000000002</v>
      </c>
      <c r="K122" s="13">
        <f t="shared" si="17"/>
        <v>2.3912014321500141E-2</v>
      </c>
      <c r="L122" s="12">
        <v>22429.3</v>
      </c>
      <c r="M122" s="13">
        <f t="shared" si="23"/>
        <v>4.0894556828676265E-2</v>
      </c>
      <c r="N122" s="15">
        <v>0</v>
      </c>
      <c r="O122" s="13">
        <f t="shared" si="16"/>
        <v>7.9964631662090252E-2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11">
        <v>46054</v>
      </c>
      <c r="B123" s="12">
        <v>66995.86</v>
      </c>
      <c r="C123" s="13">
        <f t="shared" si="19"/>
        <v>-0.16000953919419769</v>
      </c>
      <c r="D123" s="12">
        <v>6878.88</v>
      </c>
      <c r="E123" s="13">
        <f t="shared" si="20"/>
        <v>-8.7061473018693238E-3</v>
      </c>
      <c r="F123" s="12">
        <v>5230.5</v>
      </c>
      <c r="G123" s="13">
        <f t="shared" si="21"/>
        <v>0.10399128491961993</v>
      </c>
      <c r="H123" s="14">
        <v>3.64</v>
      </c>
      <c r="I123" s="14">
        <f t="shared" si="22"/>
        <v>0</v>
      </c>
      <c r="J123" s="15">
        <v>327.45999999999998</v>
      </c>
      <c r="K123" s="13">
        <f t="shared" si="17"/>
        <v>2.4340041103732224E-2</v>
      </c>
      <c r="L123" s="12">
        <v>22627</v>
      </c>
      <c r="M123" s="13">
        <f t="shared" si="23"/>
        <v>4.6891988803294149E-2</v>
      </c>
      <c r="N123" s="15">
        <v>0</v>
      </c>
      <c r="O123" s="13">
        <f t="shared" si="16"/>
        <v>6.4092170678797883E-2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F27" sqref="F27"/>
    </sheetView>
  </sheetViews>
  <sheetFormatPr baseColWidth="10" defaultColWidth="8.83203125" defaultRowHeight="15"/>
  <cols>
    <col min="1" max="1" width="19" customWidth="1"/>
    <col min="2" max="2" width="43.33203125" customWidth="1"/>
    <col min="3" max="3" width="36.5" customWidth="1"/>
    <col min="4" max="4" width="17.6640625" customWidth="1"/>
    <col min="5" max="5" width="47.33203125" customWidth="1"/>
    <col min="6" max="6" width="59.5" customWidth="1"/>
  </cols>
  <sheetData>
    <row r="1" spans="1:26" ht="16">
      <c r="A1" s="1" t="s">
        <v>15</v>
      </c>
      <c r="B1" s="1" t="s">
        <v>16</v>
      </c>
      <c r="C1" s="1" t="s">
        <v>17</v>
      </c>
      <c r="D1" s="1" t="s">
        <v>146</v>
      </c>
      <c r="E1" s="1" t="s">
        <v>18</v>
      </c>
      <c r="F1" s="1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17" t="s">
        <v>0</v>
      </c>
      <c r="B2" s="17" t="s">
        <v>20</v>
      </c>
      <c r="C2" s="17" t="s">
        <v>21</v>
      </c>
      <c r="D2" s="18" t="s">
        <v>22</v>
      </c>
      <c r="E2" s="17" t="s">
        <v>23</v>
      </c>
      <c r="F2" s="17" t="s">
        <v>24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4">
      <c r="A3" s="17" t="s">
        <v>1</v>
      </c>
      <c r="B3" s="19" t="s">
        <v>150</v>
      </c>
      <c r="C3" s="17" t="s">
        <v>25</v>
      </c>
      <c r="D3" s="18" t="s">
        <v>22</v>
      </c>
      <c r="E3" s="17" t="s">
        <v>26</v>
      </c>
      <c r="F3" s="17" t="s">
        <v>27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>
      <c r="A4" s="17" t="s">
        <v>2</v>
      </c>
      <c r="B4" s="17" t="s">
        <v>28</v>
      </c>
      <c r="C4" s="17" t="s">
        <v>29</v>
      </c>
      <c r="D4" s="18" t="s">
        <v>22</v>
      </c>
      <c r="E4" s="17" t="s">
        <v>30</v>
      </c>
      <c r="F4" s="17" t="s">
        <v>31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>
      <c r="A5" s="17" t="s">
        <v>3</v>
      </c>
      <c r="B5" s="17" t="s">
        <v>32</v>
      </c>
      <c r="C5" s="17" t="s">
        <v>33</v>
      </c>
      <c r="D5" s="18" t="s">
        <v>22</v>
      </c>
      <c r="E5" s="17" t="s">
        <v>34</v>
      </c>
      <c r="F5" s="17" t="s">
        <v>35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17" t="s">
        <v>4</v>
      </c>
      <c r="B6" s="17" t="s">
        <v>36</v>
      </c>
      <c r="C6" s="17" t="s">
        <v>29</v>
      </c>
      <c r="D6" s="18" t="s">
        <v>22</v>
      </c>
      <c r="E6" s="17" t="s">
        <v>37</v>
      </c>
      <c r="F6" s="17" t="s">
        <v>38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17" t="s">
        <v>5</v>
      </c>
      <c r="B7" s="17" t="s">
        <v>39</v>
      </c>
      <c r="C7" s="17" t="s">
        <v>40</v>
      </c>
      <c r="D7" s="18" t="s">
        <v>22</v>
      </c>
      <c r="E7" s="17" t="s">
        <v>26</v>
      </c>
      <c r="F7" s="17" t="s">
        <v>41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>
      <c r="A8" s="17" t="s">
        <v>6</v>
      </c>
      <c r="B8" s="17" t="s">
        <v>42</v>
      </c>
      <c r="C8" s="17" t="s">
        <v>29</v>
      </c>
      <c r="D8" s="18" t="s">
        <v>22</v>
      </c>
      <c r="E8" s="17" t="s">
        <v>43</v>
      </c>
      <c r="F8" s="17" t="s">
        <v>44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>
      <c r="A9" s="17" t="s">
        <v>7</v>
      </c>
      <c r="B9" s="17" t="s">
        <v>45</v>
      </c>
      <c r="C9" s="17" t="s">
        <v>46</v>
      </c>
      <c r="D9" s="18" t="s">
        <v>22</v>
      </c>
      <c r="E9" s="17" t="s">
        <v>47</v>
      </c>
      <c r="F9" s="17" t="s">
        <v>48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>
      <c r="A10" s="17" t="s">
        <v>8</v>
      </c>
      <c r="B10" s="17" t="s">
        <v>49</v>
      </c>
      <c r="C10" s="17" t="s">
        <v>29</v>
      </c>
      <c r="D10" s="18" t="s">
        <v>22</v>
      </c>
      <c r="E10" s="17" t="s">
        <v>50</v>
      </c>
      <c r="F10" s="17" t="s">
        <v>51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4">
      <c r="A11" s="17" t="s">
        <v>9</v>
      </c>
      <c r="B11" s="19" t="s">
        <v>149</v>
      </c>
      <c r="C11" s="17" t="s">
        <v>52</v>
      </c>
      <c r="D11" s="18" t="s">
        <v>22</v>
      </c>
      <c r="E11" s="17" t="s">
        <v>53</v>
      </c>
      <c r="F11" s="17" t="s">
        <v>54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>
      <c r="A12" s="17" t="s">
        <v>10</v>
      </c>
      <c r="B12" s="17" t="s">
        <v>55</v>
      </c>
      <c r="C12" s="17" t="s">
        <v>29</v>
      </c>
      <c r="D12" s="18" t="s">
        <v>22</v>
      </c>
      <c r="E12" s="17" t="s">
        <v>56</v>
      </c>
      <c r="F12" s="17" t="s">
        <v>57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>
      <c r="A13" s="17" t="s">
        <v>11</v>
      </c>
      <c r="B13" s="17" t="s">
        <v>58</v>
      </c>
      <c r="C13" s="17" t="s">
        <v>59</v>
      </c>
      <c r="D13" s="18" t="s">
        <v>22</v>
      </c>
      <c r="E13" s="17" t="s">
        <v>53</v>
      </c>
      <c r="F13" s="17" t="s">
        <v>60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>
      <c r="A14" s="17" t="s">
        <v>12</v>
      </c>
      <c r="B14" s="17" t="s">
        <v>61</v>
      </c>
      <c r="C14" s="17" t="s">
        <v>29</v>
      </c>
      <c r="D14" s="18" t="s">
        <v>22</v>
      </c>
      <c r="E14" s="17" t="s">
        <v>62</v>
      </c>
      <c r="F14" s="17" t="s">
        <v>63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>
      <c r="A15" s="17" t="s">
        <v>13</v>
      </c>
      <c r="B15" s="17" t="s">
        <v>64</v>
      </c>
      <c r="C15" s="17" t="s">
        <v>65</v>
      </c>
      <c r="D15" s="18" t="s">
        <v>22</v>
      </c>
      <c r="E15" s="17" t="s">
        <v>66</v>
      </c>
      <c r="F15" s="17" t="s">
        <v>67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>
      <c r="A16" s="17" t="s">
        <v>14</v>
      </c>
      <c r="B16" s="17" t="s">
        <v>68</v>
      </c>
      <c r="C16" s="17" t="s">
        <v>29</v>
      </c>
      <c r="D16" s="18" t="s">
        <v>22</v>
      </c>
      <c r="E16" s="17" t="s">
        <v>145</v>
      </c>
      <c r="F16" s="17" t="s">
        <v>69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E12" sqref="E12"/>
    </sheetView>
  </sheetViews>
  <sheetFormatPr baseColWidth="10" defaultColWidth="8.83203125" defaultRowHeight="15"/>
  <cols>
    <col min="1" max="1" width="20" customWidth="1"/>
    <col min="2" max="2" width="22" customWidth="1"/>
    <col min="3" max="3" width="37.33203125" customWidth="1"/>
    <col min="4" max="4" width="58" customWidth="1"/>
    <col min="5" max="5" width="70.5" customWidth="1"/>
  </cols>
  <sheetData>
    <row r="1" spans="1:26" ht="16">
      <c r="A1" s="1" t="s">
        <v>70</v>
      </c>
      <c r="B1" s="1" t="s">
        <v>71</v>
      </c>
      <c r="C1" s="1" t="s">
        <v>17</v>
      </c>
      <c r="D1" s="1" t="s">
        <v>72</v>
      </c>
      <c r="E1" s="1" t="s">
        <v>73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74</v>
      </c>
      <c r="B2" s="2" t="s">
        <v>75</v>
      </c>
      <c r="C2" s="2" t="s">
        <v>76</v>
      </c>
      <c r="D2" s="2" t="s">
        <v>77</v>
      </c>
      <c r="E2" s="2" t="s">
        <v>78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79</v>
      </c>
      <c r="B3" s="2" t="s">
        <v>80</v>
      </c>
      <c r="C3" s="2" t="s">
        <v>76</v>
      </c>
      <c r="D3" s="2" t="s">
        <v>81</v>
      </c>
      <c r="E3" s="2" t="s">
        <v>82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79</v>
      </c>
      <c r="B4" s="2" t="s">
        <v>83</v>
      </c>
      <c r="C4" s="2" t="s">
        <v>76</v>
      </c>
      <c r="D4" s="2" t="s">
        <v>84</v>
      </c>
      <c r="E4" s="2" t="s">
        <v>85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86</v>
      </c>
      <c r="B6" s="2" t="s">
        <v>91</v>
      </c>
      <c r="C6" s="2" t="s">
        <v>88</v>
      </c>
      <c r="D6" s="2" t="s">
        <v>92</v>
      </c>
      <c r="E6" s="2" t="s">
        <v>93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86</v>
      </c>
      <c r="B7" s="2" t="s">
        <v>94</v>
      </c>
      <c r="C7" s="2" t="s">
        <v>88</v>
      </c>
      <c r="D7" s="2" t="s">
        <v>95</v>
      </c>
      <c r="E7" s="2" t="s">
        <v>96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97</v>
      </c>
      <c r="B8" s="2" t="s">
        <v>98</v>
      </c>
      <c r="C8" s="2" t="s">
        <v>99</v>
      </c>
      <c r="D8" s="2" t="s">
        <v>100</v>
      </c>
      <c r="E8" s="2" t="s">
        <v>101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E13" sqref="E13"/>
    </sheetView>
  </sheetViews>
  <sheetFormatPr baseColWidth="10" defaultColWidth="8.83203125" defaultRowHeight="15"/>
  <cols>
    <col min="1" max="1" width="24" customWidth="1"/>
    <col min="2" max="2" width="69.6640625" customWidth="1"/>
    <col min="3" max="3" width="93.83203125" customWidth="1"/>
  </cols>
  <sheetData>
    <row r="1" spans="1:26" ht="16">
      <c r="A1" s="1" t="s">
        <v>102</v>
      </c>
      <c r="B1" s="1" t="s">
        <v>103</v>
      </c>
      <c r="C1" s="1" t="s">
        <v>104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105</v>
      </c>
      <c r="B2" s="2" t="s">
        <v>106</v>
      </c>
      <c r="C2" s="2" t="s">
        <v>107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108</v>
      </c>
      <c r="B3" s="2" t="s">
        <v>109</v>
      </c>
      <c r="C3" s="2" t="s">
        <v>110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111</v>
      </c>
      <c r="B4" s="2" t="s">
        <v>112</v>
      </c>
      <c r="C4" s="2" t="s">
        <v>113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114</v>
      </c>
      <c r="B5" s="2" t="s">
        <v>115</v>
      </c>
      <c r="C5" s="2" t="s">
        <v>116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>
      <c r="A6" s="2" t="s">
        <v>117</v>
      </c>
      <c r="B6" s="2" t="s">
        <v>118</v>
      </c>
      <c r="C6" s="7" t="s">
        <v>151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>
      <c r="A7" s="2" t="s">
        <v>119</v>
      </c>
      <c r="B7" s="7" t="s">
        <v>147</v>
      </c>
      <c r="C7" s="2" t="s">
        <v>120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121</v>
      </c>
      <c r="B8" s="2" t="s">
        <v>122</v>
      </c>
      <c r="C8" s="2" t="s">
        <v>123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124</v>
      </c>
      <c r="B9" s="2" t="s">
        <v>125</v>
      </c>
      <c r="C9" s="2" t="s">
        <v>126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">
      <c r="A10" s="2" t="s">
        <v>127</v>
      </c>
      <c r="B10" s="7" t="s">
        <v>148</v>
      </c>
      <c r="C10" s="2" t="s">
        <v>128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activeCell="B27" sqref="B27"/>
    </sheetView>
  </sheetViews>
  <sheetFormatPr baseColWidth="10" defaultColWidth="8.83203125" defaultRowHeight="15"/>
  <cols>
    <col min="1" max="1" width="61.83203125" customWidth="1"/>
    <col min="2" max="2" width="6.33203125" customWidth="1"/>
    <col min="3" max="3" width="16.5" customWidth="1"/>
    <col min="4" max="4" width="21.6640625" customWidth="1"/>
    <col min="5" max="6" width="10.33203125" customWidth="1"/>
    <col min="7" max="7" width="6" customWidth="1"/>
  </cols>
  <sheetData>
    <row r="1" spans="1:26" ht="18">
      <c r="A1" s="8" t="s">
        <v>129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8">
      <c r="A3" s="1" t="s">
        <v>15</v>
      </c>
      <c r="B3" s="1" t="s">
        <v>130</v>
      </c>
      <c r="C3" s="1" t="s">
        <v>131</v>
      </c>
      <c r="D3" s="1" t="s">
        <v>132</v>
      </c>
      <c r="E3" s="1" t="s">
        <v>133</v>
      </c>
      <c r="F3" s="1" t="s">
        <v>134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</v>
      </c>
      <c r="B4" s="4">
        <f>COUNT(Dataset_final!B2:B123)</f>
        <v>122</v>
      </c>
      <c r="C4" s="5">
        <f>AVERAGE(Dataset_final!B2:B123)</f>
        <v>31125.887295081971</v>
      </c>
      <c r="D4" s="5">
        <f>_xlfn.STDEV.S(Dataset_final!B2:B123)</f>
        <v>32123.048954542701</v>
      </c>
      <c r="E4" s="5">
        <f>MIN(Dataset_final!B2:B123)</f>
        <v>368.77</v>
      </c>
      <c r="F4" s="5">
        <f>MAX(Dataset_final!B2:B123)</f>
        <v>115758.2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2</v>
      </c>
      <c r="B5" s="4">
        <f>COUNT(Dataset_final!C2:C123)</f>
        <v>121</v>
      </c>
      <c r="C5" s="5">
        <f>AVERAGE(Dataset_final!C2:C123)</f>
        <v>4.2993495553287638E-2</v>
      </c>
      <c r="D5" s="5">
        <f>_xlfn.STDEV.S(Dataset_final!B3:B124)</f>
        <v>32133.174021321487</v>
      </c>
      <c r="E5" s="5">
        <f>MIN(Dataset_final!C2:C123)</f>
        <v>-0.47431400860042272</v>
      </c>
      <c r="F5" s="5">
        <f>MAX(Dataset_final!C2:C123)</f>
        <v>0.52844249508522168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3</v>
      </c>
      <c r="B6" s="4">
        <f>COUNT(Dataset_final!D2:D123)</f>
        <v>122</v>
      </c>
      <c r="C6" s="5">
        <f>AVERAGE(Dataset_final!D2:D123)</f>
        <v>3839.1545901639356</v>
      </c>
      <c r="D6" s="5">
        <f>_xlfn.STDEV.S(Dataset_final!B4:B125)</f>
        <v>32141.950827220175</v>
      </c>
      <c r="E6" s="5">
        <f>MIN(Dataset_final!D2:D123)</f>
        <v>1932.23</v>
      </c>
      <c r="F6" s="5">
        <f>MAX(Dataset_final!D2:D123)</f>
        <v>6939.03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4</v>
      </c>
      <c r="B7" s="4">
        <f>COUNT(Dataset_final!E2:E123)</f>
        <v>121</v>
      </c>
      <c r="C7" s="5">
        <f>AVERAGE(Dataset_final!E2:E123)</f>
        <v>1.0459869183734783E-2</v>
      </c>
      <c r="D7" s="5">
        <f>_xlfn.STDEV.S(Dataset_final!B5:B126)</f>
        <v>32148.561483248406</v>
      </c>
      <c r="E7" s="5">
        <f>MIN(Dataset_final!E2:E123)</f>
        <v>-0.13366776859296695</v>
      </c>
      <c r="F7" s="5">
        <f>MAX(Dataset_final!E2:E123)</f>
        <v>0.11942089623740584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5</v>
      </c>
      <c r="B8" s="4">
        <f>COUNT(Dataset_final!F2:F123)</f>
        <v>122</v>
      </c>
      <c r="C8" s="5">
        <f>AVERAGE(Dataset_final!F2:F123)</f>
        <v>1889.6040983606558</v>
      </c>
      <c r="D8" s="5">
        <f>_xlfn.STDEV.S(Dataset_final!B6:B127)</f>
        <v>32153.33597328949</v>
      </c>
      <c r="E8" s="5">
        <f>MIN(Dataset_final!F2:F123)</f>
        <v>1116.4000000000001</v>
      </c>
      <c r="F8" s="5">
        <f>MAX(Dataset_final!F2:F123)</f>
        <v>5230.5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6</v>
      </c>
      <c r="B9" s="4">
        <f>COUNT(Dataset_final!G2:G123)</f>
        <v>121</v>
      </c>
      <c r="C9" s="5">
        <f>AVERAGE(Dataset_final!G2:G123)</f>
        <v>1.2763616967947502E-2</v>
      </c>
      <c r="D9" s="5">
        <f>_xlfn.STDEV.S(Dataset_final!B7:B128)</f>
        <v>32156.617718149384</v>
      </c>
      <c r="E9" s="5">
        <f>MIN(Dataset_final!G2:G123)</f>
        <v>-8.2510030044443572E-2</v>
      </c>
      <c r="F9" s="5">
        <f>MAX(Dataset_final!G2:G123)</f>
        <v>0.10399128491961993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7</v>
      </c>
      <c r="B10" s="4">
        <f>COUNT(Dataset_final!H2:H123)</f>
        <v>122</v>
      </c>
      <c r="C10" s="5">
        <f>AVERAGE(Dataset_final!H2:H123)</f>
        <v>2.214344262295084</v>
      </c>
      <c r="D10" s="5">
        <f>_xlfn.STDEV.S(Dataset_final!B8:B129)</f>
        <v>32158.835843260324</v>
      </c>
      <c r="E10" s="5">
        <f>MIN(Dataset_final!H2:H123)</f>
        <v>0.05</v>
      </c>
      <c r="F10" s="5">
        <f>MAX(Dataset_final!H2:H123)</f>
        <v>5.33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8</v>
      </c>
      <c r="B11" s="4">
        <f>COUNT(Dataset_final!I2:I123)</f>
        <v>121</v>
      </c>
      <c r="C11" s="5">
        <f>AVERAGE(Dataset_final!I2:I123)</f>
        <v>2.7272727272727275E-2</v>
      </c>
      <c r="D11" s="5">
        <f>_xlfn.STDEV.S(Dataset_final!B9:B130)</f>
        <v>32158.249792869177</v>
      </c>
      <c r="E11" s="5">
        <f>MIN(Dataset_final!I2:I123)</f>
        <v>-0.93</v>
      </c>
      <c r="F11" s="5">
        <f>MAX(Dataset_final!I2:I123)</f>
        <v>0.69999999999999973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9</v>
      </c>
      <c r="B12" s="4">
        <f>COUNT(Dataset_final!J2:J123)</f>
        <v>122</v>
      </c>
      <c r="C12" s="5">
        <f>AVERAGE(Dataset_final!J2:J123)</f>
        <v>276.33693442622956</v>
      </c>
      <c r="D12" s="5">
        <f>_xlfn.STDEV.S(Dataset_final!B10:B131)</f>
        <v>32154.703861910526</v>
      </c>
      <c r="E12" s="5">
        <f>MIN(Dataset_final!J2:J123)</f>
        <v>237.33600000000001</v>
      </c>
      <c r="F12" s="5">
        <f>MAX(Dataset_final!J2:J123)</f>
        <v>327.45999999999998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10</v>
      </c>
      <c r="B13" s="4">
        <f>COUNT(Dataset_final!K2:K123)</f>
        <v>110</v>
      </c>
      <c r="C13" s="5">
        <f>AVERAGE(Dataset_final!K2:K123)</f>
        <v>3.3298053706993756E-2</v>
      </c>
      <c r="D13" s="5">
        <f>_xlfn.STDEV.S(Dataset_final!B11:B132)</f>
        <v>32148.803067599463</v>
      </c>
      <c r="E13" s="5">
        <f>MIN(Dataset_final!K2:K123)</f>
        <v>1.982013035848551E-3</v>
      </c>
      <c r="F13" s="5">
        <f>MAX(Dataset_final!K2:K123)</f>
        <v>8.9793611031057985E-2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11</v>
      </c>
      <c r="B14" s="4">
        <f>COUNT(Dataset_final!L2:L123)</f>
        <v>122</v>
      </c>
      <c r="C14" s="5">
        <f>AVERAGE(Dataset_final!L2:L123)</f>
        <v>18008.042622950808</v>
      </c>
      <c r="D14" s="5">
        <f>_xlfn.STDEV.S(Dataset_final!B12:B133)</f>
        <v>32140.95000607508</v>
      </c>
      <c r="E14" s="5">
        <f>MIN(Dataset_final!L2:L123)</f>
        <v>12518.5</v>
      </c>
      <c r="F14" s="5">
        <f>MAX(Dataset_final!L2:L123)</f>
        <v>22627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12</v>
      </c>
      <c r="B15" s="4">
        <f>COUNT(Dataset_final!M2:M123)</f>
        <v>110</v>
      </c>
      <c r="C15" s="5">
        <f>AVERAGE(Dataset_final!M2:M123)</f>
        <v>6.3086805204613877E-2</v>
      </c>
      <c r="D15" s="5">
        <f>_xlfn.STDEV.S(Dataset_final!B13:B134)</f>
        <v>32130.597960810712</v>
      </c>
      <c r="E15" s="5">
        <f>MIN(Dataset_final!M2:M123)</f>
        <v>-4.6307907852729646E-2</v>
      </c>
      <c r="F15" s="5">
        <f>MAX(Dataset_final!M2:M123)</f>
        <v>0.26775272051325083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14</v>
      </c>
      <c r="B16" s="4">
        <f>COUNT(Dataset_final!O2:O123)</f>
        <v>120</v>
      </c>
      <c r="C16" s="5">
        <f>AVERAGE(Dataset_final!O2:O123)</f>
        <v>0.16598087799991881</v>
      </c>
      <c r="D16" s="5">
        <f>_xlfn.STDEV.S(Dataset_final!B14:B135)</f>
        <v>32119.27293255406</v>
      </c>
      <c r="E16" s="5">
        <f>MIN(Dataset_final!O2:O123)</f>
        <v>2.7528070911302591E-2</v>
      </c>
      <c r="F16" s="5">
        <f>MAX(Dataset_final!O2:O123)</f>
        <v>0.41955667765466836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0" t="s">
        <v>135</v>
      </c>
      <c r="B21" s="9"/>
      <c r="C21" s="9"/>
      <c r="D21" s="9"/>
      <c r="E21" s="9"/>
      <c r="F21" s="9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8">
      <c r="A22" s="1"/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 t="s">
        <v>141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6" t="s">
        <v>136</v>
      </c>
      <c r="B23" s="3">
        <f>CORREL(Dataset_final!C14:C123,Dataset_final!C14:C123)</f>
        <v>1</v>
      </c>
      <c r="C23" s="3">
        <f>CORREL(Dataset_final!C14:C123,Dataset_final!E14:E123)</f>
        <v>0.35270216361341084</v>
      </c>
      <c r="D23" s="3">
        <f>CORREL(Dataset_final!C14:C123,Dataset_final!G14:G123)</f>
        <v>6.6741371413054876E-2</v>
      </c>
      <c r="E23" s="3">
        <f>CORREL(Dataset_final!C14:C123,Dataset_final!I14:I123)</f>
        <v>-8.7852567443269053E-2</v>
      </c>
      <c r="F23" s="3">
        <f>CORREL(Dataset_final!C14:C123,Dataset_final!K14:K123)</f>
        <v>-0.25058629904868629</v>
      </c>
      <c r="G23" s="3">
        <f>CORREL(Dataset_final!C14:C123,Dataset_final!M14:M123)</f>
        <v>0.13877433523698401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6" t="s">
        <v>137</v>
      </c>
      <c r="B24" s="3">
        <f>CORREL(Dataset_final!E14:E123,Dataset_final!C14:C123)</f>
        <v>0.35270216361341084</v>
      </c>
      <c r="C24" s="3">
        <f>CORREL(Dataset_final!E14:E123,Dataset_final!E14:E123)</f>
        <v>1</v>
      </c>
      <c r="D24" s="3">
        <f>CORREL(Dataset_final!E14:E123,Dataset_final!G14:G123)</f>
        <v>0.11058636008251063</v>
      </c>
      <c r="E24" s="3">
        <f>CORREL(Dataset_final!E14:E123,Dataset_final!I14:I123)</f>
        <v>8.3400534135592667E-3</v>
      </c>
      <c r="F24" s="3">
        <f>CORREL(Dataset_final!E14:E123,Dataset_final!K14:K123)</f>
        <v>-0.17572514548964793</v>
      </c>
      <c r="G24" s="3">
        <f>CORREL(Dataset_final!E14:E123,Dataset_final!M14:M123)</f>
        <v>9.7324368859017851E-2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6" t="s">
        <v>138</v>
      </c>
      <c r="B25" s="3">
        <f>CORREL(Dataset_final!G14:G123,Dataset_final!C14:C123)</f>
        <v>6.6741371413054876E-2</v>
      </c>
      <c r="C25" s="3">
        <f>CORREL(Dataset_final!G14:G123,Dataset_final!E14:E123)</f>
        <v>0.11058636008251063</v>
      </c>
      <c r="D25" s="3">
        <f>CORREL(Dataset_final!G14:G123,Dataset_final!G14:G123)</f>
        <v>1</v>
      </c>
      <c r="E25" s="3">
        <f>CORREL(Dataset_final!G14:G123,Dataset_final!I14:I123)</f>
        <v>-0.19415453691438705</v>
      </c>
      <c r="F25" s="3">
        <f>CORREL(Dataset_final!G14:G123,Dataset_final!K14:K123)</f>
        <v>-0.14803706748641221</v>
      </c>
      <c r="G25" s="3">
        <f>CORREL(Dataset_final!G14:G123,Dataset_final!M14:M123)</f>
        <v>-9.9633098791111818E-2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6" t="s">
        <v>139</v>
      </c>
      <c r="B26" s="3">
        <f>CORREL(Dataset_final!I14:I123,Dataset_final!C14:C123)</f>
        <v>-8.7852567443269053E-2</v>
      </c>
      <c r="C26" s="3">
        <f>CORREL(Dataset_final!I14:I123,Dataset_final!E14:E123)</f>
        <v>8.3400534135592667E-3</v>
      </c>
      <c r="D26" s="3">
        <f>CORREL(Dataset_final!I14:I123,Dataset_final!G14:G123)</f>
        <v>-0.19415453691438705</v>
      </c>
      <c r="E26" s="3">
        <f>CORREL(Dataset_final!I14:I123,Dataset_final!I14:I123)</f>
        <v>1</v>
      </c>
      <c r="F26" s="3">
        <f>CORREL(Dataset_final!I14:I123,Dataset_final!K14:K123)</f>
        <v>0.55163757219161191</v>
      </c>
      <c r="G26" s="3">
        <f>CORREL(Dataset_final!I14:I123,Dataset_final!M14:M123)</f>
        <v>-0.2016936735300929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" t="s">
        <v>140</v>
      </c>
      <c r="B27" s="3">
        <f>CORREL(Dataset_final!K14:K123,Dataset_final!C14:C123)</f>
        <v>-0.25058629904868629</v>
      </c>
      <c r="C27" s="3">
        <f>CORREL(Dataset_final!K14:K123,Dataset_final!E14:E123)</f>
        <v>-0.17572514548964793</v>
      </c>
      <c r="D27" s="3">
        <f>CORREL(Dataset_final!K14:K123,Dataset_final!G14:G123)</f>
        <v>-0.14803706748641221</v>
      </c>
      <c r="E27" s="3">
        <f>CORREL(Dataset_final!K14:K123,Dataset_final!I14:I123)</f>
        <v>0.55163757219161191</v>
      </c>
      <c r="F27" s="3">
        <f>CORREL(Dataset_final!K14:K123,Dataset_final!K14:K123)</f>
        <v>1</v>
      </c>
      <c r="G27" s="3">
        <f>CORREL(Dataset_final!K14:K123,Dataset_final!M14:M123)</f>
        <v>-0.19546276075402841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" t="s">
        <v>141</v>
      </c>
      <c r="B28" s="3">
        <f>CORREL(Dataset_final!M14:M123,Dataset_final!C14:C123)</f>
        <v>0.13877433523698401</v>
      </c>
      <c r="C28" s="3">
        <f>CORREL(Dataset_final!M14:M123,Dataset_final!E14:E123)</f>
        <v>9.7324368859017851E-2</v>
      </c>
      <c r="D28" s="3">
        <f>CORREL(Dataset_final!M14:M123,Dataset_final!G14:G123)</f>
        <v>-9.9633098791111818E-2</v>
      </c>
      <c r="E28" s="3">
        <f>CORREL(Dataset_final!M14:M123,Dataset_final!I14:I123)</f>
        <v>-0.2016936735300929</v>
      </c>
      <c r="F28" s="3">
        <f>CORREL(Dataset_final!M14:M123,Dataset_final!K14:K123)</f>
        <v>-0.19546276075402841</v>
      </c>
      <c r="G28" s="3">
        <f>CORREL(Dataset_final!M14:M123,Dataset_final!M14:M123)</f>
        <v>0.99999999999999989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F1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Dataset_final</vt:lpstr>
      <vt:lpstr>Diccionario_variables</vt:lpstr>
      <vt:lpstr>Fuentes_datos</vt:lpstr>
      <vt:lpstr>Control_limpieza</vt:lpstr>
      <vt:lpstr>Analisis_exploratorio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Serrano González</cp:lastModifiedBy>
  <dcterms:created xsi:type="dcterms:W3CDTF">2026-06-12T13:51:04Z</dcterms:created>
  <dcterms:modified xsi:type="dcterms:W3CDTF">2026-06-14T16:27:41Z</dcterms:modified>
</cp:coreProperties>
</file>